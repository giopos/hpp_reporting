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stiglioneg/Desktop/12x25 streamlit/"/>
    </mc:Choice>
  </mc:AlternateContent>
  <xr:revisionPtr revIDLastSave="0" documentId="13_ncr:1_{CC56E7D1-50C3-654A-86C8-AEB4EA3367F1}" xr6:coauthVersionLast="47" xr6:coauthVersionMax="47" xr10:uidLastSave="{00000000-0000-0000-0000-000000000000}"/>
  <bookViews>
    <workbookView xWindow="0" yWindow="780" windowWidth="33600" windowHeight="19440" xr2:uid="{00000000-000D-0000-FFFF-FFFF00000000}"/>
  </bookViews>
  <sheets>
    <sheet name="Database" sheetId="1" r:id="rId1"/>
    <sheet name="4x25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BR2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U2" i="1"/>
  <c r="BU3" i="1"/>
  <c r="BW3" i="1" s="1"/>
  <c r="BU4" i="1"/>
  <c r="BW4" i="1" s="1"/>
  <c r="BU5" i="1"/>
  <c r="BX5" i="1" s="1"/>
  <c r="BU6" i="1"/>
  <c r="BX6" i="1" s="1"/>
  <c r="BU7" i="1"/>
  <c r="BW7" i="1" s="1"/>
  <c r="BU8" i="1"/>
  <c r="BW8" i="1" s="1"/>
  <c r="BU9" i="1"/>
  <c r="BW9" i="1" s="1"/>
  <c r="BU10" i="1"/>
  <c r="BW10" i="1" s="1"/>
  <c r="BU11" i="1"/>
  <c r="BU12" i="1"/>
  <c r="BU13" i="1"/>
  <c r="BW13" i="1" s="1"/>
  <c r="BU14" i="1"/>
  <c r="BW14" i="1" s="1"/>
  <c r="BU15" i="1"/>
  <c r="BW15" i="1" s="1"/>
  <c r="BU16" i="1"/>
  <c r="BX16" i="1" s="1"/>
  <c r="BU17" i="1"/>
  <c r="BW17" i="1" s="1"/>
  <c r="BU18" i="1"/>
  <c r="BW18" i="1" s="1"/>
  <c r="BU19" i="1"/>
  <c r="BW19" i="1" s="1"/>
  <c r="BU20" i="1"/>
  <c r="BW20" i="1" s="1"/>
  <c r="BU21" i="1"/>
  <c r="BU22" i="1"/>
  <c r="BW22" i="1" s="1"/>
  <c r="BW2" i="1"/>
  <c r="BX2" i="1"/>
  <c r="BX4" i="1"/>
  <c r="BW12" i="1"/>
  <c r="BX12" i="1"/>
  <c r="BU25" i="1"/>
  <c r="BX25" i="1" s="1"/>
  <c r="BR25" i="1"/>
  <c r="BQ25" i="1"/>
  <c r="BP25" i="1"/>
  <c r="BD25" i="1" s="1"/>
  <c r="BO25" i="1"/>
  <c r="BC25" i="1" s="1"/>
  <c r="BN25" i="1"/>
  <c r="BB25" i="1" s="1"/>
  <c r="BM25" i="1"/>
  <c r="BA25" i="1" s="1"/>
  <c r="BL25" i="1"/>
  <c r="AZ25" i="1" s="1"/>
  <c r="BK25" i="1"/>
  <c r="AY25" i="1" s="1"/>
  <c r="BJ25" i="1"/>
  <c r="AX25" i="1" s="1"/>
  <c r="BI25" i="1"/>
  <c r="AW25" i="1" s="1"/>
  <c r="BH25" i="1"/>
  <c r="BG25" i="1"/>
  <c r="AU25" i="1" s="1"/>
  <c r="BF25" i="1"/>
  <c r="AT25" i="1" s="1"/>
  <c r="BE25" i="1"/>
  <c r="AV25" i="1"/>
  <c r="BU24" i="1"/>
  <c r="BX24" i="1" s="1"/>
  <c r="BR24" i="1"/>
  <c r="BQ24" i="1"/>
  <c r="BE24" i="1" s="1"/>
  <c r="BP24" i="1"/>
  <c r="BD24" i="1" s="1"/>
  <c r="BO24" i="1"/>
  <c r="BC24" i="1" s="1"/>
  <c r="BN24" i="1"/>
  <c r="BB24" i="1" s="1"/>
  <c r="BM24" i="1"/>
  <c r="BA24" i="1" s="1"/>
  <c r="BL24" i="1"/>
  <c r="AZ24" i="1" s="1"/>
  <c r="BK24" i="1"/>
  <c r="AY24" i="1" s="1"/>
  <c r="BJ24" i="1"/>
  <c r="AX24" i="1" s="1"/>
  <c r="BI24" i="1"/>
  <c r="AW24" i="1" s="1"/>
  <c r="BH24" i="1"/>
  <c r="AV24" i="1" s="1"/>
  <c r="BG24" i="1"/>
  <c r="AU24" i="1" s="1"/>
  <c r="BF24" i="1"/>
  <c r="AT24" i="1" s="1"/>
  <c r="BU23" i="1"/>
  <c r="BR23" i="1"/>
  <c r="BQ23" i="1"/>
  <c r="BE23" i="1" s="1"/>
  <c r="BP23" i="1"/>
  <c r="BD23" i="1" s="1"/>
  <c r="BO23" i="1"/>
  <c r="BC23" i="1" s="1"/>
  <c r="BN23" i="1"/>
  <c r="BB23" i="1" s="1"/>
  <c r="BM23" i="1"/>
  <c r="BA23" i="1" s="1"/>
  <c r="BL23" i="1"/>
  <c r="AZ23" i="1" s="1"/>
  <c r="BK23" i="1"/>
  <c r="AY23" i="1" s="1"/>
  <c r="BJ23" i="1"/>
  <c r="AX23" i="1" s="1"/>
  <c r="BI23" i="1"/>
  <c r="AW23" i="1" s="1"/>
  <c r="BH23" i="1"/>
  <c r="AV23" i="1" s="1"/>
  <c r="BG23" i="1"/>
  <c r="BF23" i="1"/>
  <c r="AT23" i="1" s="1"/>
  <c r="BX14" i="1" l="1"/>
  <c r="BX13" i="1"/>
  <c r="BX22" i="1"/>
  <c r="BW5" i="1"/>
  <c r="BX3" i="1"/>
  <c r="BW6" i="1"/>
  <c r="BX19" i="1"/>
  <c r="BX18" i="1"/>
  <c r="BW16" i="1"/>
  <c r="BX9" i="1"/>
  <c r="BX15" i="1"/>
  <c r="BX8" i="1"/>
  <c r="BX17" i="1"/>
  <c r="BX7" i="1"/>
  <c r="BX21" i="1"/>
  <c r="BX11" i="1"/>
  <c r="BW21" i="1"/>
  <c r="BW11" i="1"/>
  <c r="BX20" i="1"/>
  <c r="BX10" i="1"/>
  <c r="BS23" i="1"/>
  <c r="BT23" i="1" s="1"/>
  <c r="BV23" i="1"/>
  <c r="BS24" i="1"/>
  <c r="BT24" i="1" s="1"/>
  <c r="BW23" i="1"/>
  <c r="BV24" i="1"/>
  <c r="BX23" i="1"/>
  <c r="BW24" i="1"/>
  <c r="BV25" i="1"/>
  <c r="BS25" i="1"/>
  <c r="BT25" i="1" s="1"/>
  <c r="AU23" i="1"/>
  <c r="BW25" i="1"/>
  <c r="BF2" i="1"/>
  <c r="BG2" i="1"/>
  <c r="AU2" i="1" s="1"/>
  <c r="BH2" i="1"/>
  <c r="AV2" i="1" s="1"/>
  <c r="BI2" i="1"/>
  <c r="AW2" i="1" s="1"/>
  <c r="BJ2" i="1"/>
  <c r="AX2" i="1" s="1"/>
  <c r="BK2" i="1"/>
  <c r="AY2" i="1" s="1"/>
  <c r="BL2" i="1"/>
  <c r="AZ2" i="1" s="1"/>
  <c r="BM2" i="1"/>
  <c r="BA2" i="1" s="1"/>
  <c r="BN2" i="1"/>
  <c r="BB2" i="1" s="1"/>
  <c r="BO2" i="1"/>
  <c r="BC2" i="1" s="1"/>
  <c r="BP2" i="1"/>
  <c r="BD2" i="1" s="1"/>
  <c r="BQ2" i="1"/>
  <c r="BE2" i="1" s="1"/>
  <c r="BF3" i="1"/>
  <c r="BG3" i="1"/>
  <c r="AU3" i="1" s="1"/>
  <c r="BH3" i="1"/>
  <c r="AV3" i="1" s="1"/>
  <c r="BI3" i="1"/>
  <c r="AW3" i="1" s="1"/>
  <c r="BJ3" i="1"/>
  <c r="AX3" i="1" s="1"/>
  <c r="BK3" i="1"/>
  <c r="AY3" i="1" s="1"/>
  <c r="BL3" i="1"/>
  <c r="AZ3" i="1" s="1"/>
  <c r="BM3" i="1"/>
  <c r="BA3" i="1" s="1"/>
  <c r="BN3" i="1"/>
  <c r="BB3" i="1" s="1"/>
  <c r="BO3" i="1"/>
  <c r="BC3" i="1" s="1"/>
  <c r="BP3" i="1"/>
  <c r="BD3" i="1" s="1"/>
  <c r="BQ3" i="1"/>
  <c r="BE3" i="1" s="1"/>
  <c r="BF4" i="1"/>
  <c r="BG4" i="1"/>
  <c r="AU4" i="1" s="1"/>
  <c r="BH4" i="1"/>
  <c r="AV4" i="1" s="1"/>
  <c r="BI4" i="1"/>
  <c r="AW4" i="1" s="1"/>
  <c r="BJ4" i="1"/>
  <c r="AX4" i="1" s="1"/>
  <c r="BK4" i="1"/>
  <c r="AY4" i="1" s="1"/>
  <c r="BL4" i="1"/>
  <c r="AZ4" i="1" s="1"/>
  <c r="BM4" i="1"/>
  <c r="BA4" i="1" s="1"/>
  <c r="BN4" i="1"/>
  <c r="BB4" i="1" s="1"/>
  <c r="BO4" i="1"/>
  <c r="BC4" i="1" s="1"/>
  <c r="BP4" i="1"/>
  <c r="BD4" i="1" s="1"/>
  <c r="BQ4" i="1"/>
  <c r="BE4" i="1" s="1"/>
  <c r="BF5" i="1"/>
  <c r="BG5" i="1"/>
  <c r="BH5" i="1"/>
  <c r="AV5" i="1" s="1"/>
  <c r="BI5" i="1"/>
  <c r="AW5" i="1" s="1"/>
  <c r="BJ5" i="1"/>
  <c r="AX5" i="1" s="1"/>
  <c r="BK5" i="1"/>
  <c r="AY5" i="1" s="1"/>
  <c r="BL5" i="1"/>
  <c r="AZ5" i="1" s="1"/>
  <c r="BM5" i="1"/>
  <c r="BA5" i="1" s="1"/>
  <c r="BN5" i="1"/>
  <c r="BB5" i="1" s="1"/>
  <c r="BO5" i="1"/>
  <c r="BC5" i="1" s="1"/>
  <c r="BP5" i="1"/>
  <c r="BD5" i="1" s="1"/>
  <c r="BQ5" i="1"/>
  <c r="BE5" i="1" s="1"/>
  <c r="BF6" i="1"/>
  <c r="BG6" i="1"/>
  <c r="AU6" i="1" s="1"/>
  <c r="BH6" i="1"/>
  <c r="AV6" i="1" s="1"/>
  <c r="BI6" i="1"/>
  <c r="AW6" i="1" s="1"/>
  <c r="BJ6" i="1"/>
  <c r="AX6" i="1" s="1"/>
  <c r="BK6" i="1"/>
  <c r="AY6" i="1" s="1"/>
  <c r="BL6" i="1"/>
  <c r="AZ6" i="1" s="1"/>
  <c r="BM6" i="1"/>
  <c r="BA6" i="1" s="1"/>
  <c r="BN6" i="1"/>
  <c r="BB6" i="1" s="1"/>
  <c r="BO6" i="1"/>
  <c r="BC6" i="1" s="1"/>
  <c r="BP6" i="1"/>
  <c r="BD6" i="1" s="1"/>
  <c r="BQ6" i="1"/>
  <c r="BE6" i="1" s="1"/>
  <c r="BF7" i="1"/>
  <c r="BG7" i="1"/>
  <c r="AU7" i="1" s="1"/>
  <c r="BH7" i="1"/>
  <c r="AV7" i="1" s="1"/>
  <c r="BI7" i="1"/>
  <c r="AW7" i="1" s="1"/>
  <c r="BJ7" i="1"/>
  <c r="AX7" i="1" s="1"/>
  <c r="BK7" i="1"/>
  <c r="AY7" i="1" s="1"/>
  <c r="BL7" i="1"/>
  <c r="AZ7" i="1" s="1"/>
  <c r="BM7" i="1"/>
  <c r="BA7" i="1" s="1"/>
  <c r="BN7" i="1"/>
  <c r="BB7" i="1" s="1"/>
  <c r="BO7" i="1"/>
  <c r="BC7" i="1" s="1"/>
  <c r="BP7" i="1"/>
  <c r="BD7" i="1" s="1"/>
  <c r="BQ7" i="1"/>
  <c r="BE7" i="1" s="1"/>
  <c r="BF8" i="1"/>
  <c r="BG8" i="1"/>
  <c r="AU8" i="1" s="1"/>
  <c r="BH8" i="1"/>
  <c r="AV8" i="1" s="1"/>
  <c r="BI8" i="1"/>
  <c r="BJ8" i="1"/>
  <c r="AX8" i="1" s="1"/>
  <c r="BK8" i="1"/>
  <c r="AY8" i="1" s="1"/>
  <c r="BL8" i="1"/>
  <c r="AZ8" i="1" s="1"/>
  <c r="BM8" i="1"/>
  <c r="BA8" i="1" s="1"/>
  <c r="BN8" i="1"/>
  <c r="BB8" i="1" s="1"/>
  <c r="BO8" i="1"/>
  <c r="BC8" i="1" s="1"/>
  <c r="BP8" i="1"/>
  <c r="BD8" i="1" s="1"/>
  <c r="BQ8" i="1"/>
  <c r="BE8" i="1" s="1"/>
  <c r="BF9" i="1"/>
  <c r="BG9" i="1"/>
  <c r="AU9" i="1" s="1"/>
  <c r="BH9" i="1"/>
  <c r="AV9" i="1" s="1"/>
  <c r="BI9" i="1"/>
  <c r="AW9" i="1" s="1"/>
  <c r="BJ9" i="1"/>
  <c r="AX9" i="1" s="1"/>
  <c r="BK9" i="1"/>
  <c r="AY9" i="1" s="1"/>
  <c r="BL9" i="1"/>
  <c r="AZ9" i="1" s="1"/>
  <c r="BM9" i="1"/>
  <c r="BA9" i="1" s="1"/>
  <c r="BN9" i="1"/>
  <c r="BB9" i="1" s="1"/>
  <c r="BO9" i="1"/>
  <c r="BC9" i="1" s="1"/>
  <c r="BP9" i="1"/>
  <c r="BD9" i="1" s="1"/>
  <c r="BQ9" i="1"/>
  <c r="BE9" i="1" s="1"/>
  <c r="BF10" i="1"/>
  <c r="BG10" i="1"/>
  <c r="AU10" i="1" s="1"/>
  <c r="BH10" i="1"/>
  <c r="AV10" i="1" s="1"/>
  <c r="BI10" i="1"/>
  <c r="AW10" i="1" s="1"/>
  <c r="BJ10" i="1"/>
  <c r="AX10" i="1" s="1"/>
  <c r="BK10" i="1"/>
  <c r="AY10" i="1" s="1"/>
  <c r="BL10" i="1"/>
  <c r="AZ10" i="1" s="1"/>
  <c r="BM10" i="1"/>
  <c r="BA10" i="1" s="1"/>
  <c r="BN10" i="1"/>
  <c r="BB10" i="1" s="1"/>
  <c r="BO10" i="1"/>
  <c r="BC10" i="1" s="1"/>
  <c r="BP10" i="1"/>
  <c r="BD10" i="1" s="1"/>
  <c r="BQ10" i="1"/>
  <c r="BE10" i="1" s="1"/>
  <c r="BF11" i="1"/>
  <c r="BG11" i="1"/>
  <c r="AU11" i="1" s="1"/>
  <c r="BH11" i="1"/>
  <c r="AV11" i="1" s="1"/>
  <c r="BI11" i="1"/>
  <c r="AW11" i="1" s="1"/>
  <c r="BJ11" i="1"/>
  <c r="AX11" i="1" s="1"/>
  <c r="BK11" i="1"/>
  <c r="AY11" i="1" s="1"/>
  <c r="BL11" i="1"/>
  <c r="AZ11" i="1" s="1"/>
  <c r="BM11" i="1"/>
  <c r="BA11" i="1" s="1"/>
  <c r="BN11" i="1"/>
  <c r="BB11" i="1" s="1"/>
  <c r="BO11" i="1"/>
  <c r="BC11" i="1" s="1"/>
  <c r="BP11" i="1"/>
  <c r="BD11" i="1" s="1"/>
  <c r="BQ11" i="1"/>
  <c r="BE11" i="1" s="1"/>
  <c r="BF12" i="1"/>
  <c r="BG12" i="1"/>
  <c r="AU12" i="1" s="1"/>
  <c r="BH12" i="1"/>
  <c r="AV12" i="1" s="1"/>
  <c r="BI12" i="1"/>
  <c r="AW12" i="1" s="1"/>
  <c r="BJ12" i="1"/>
  <c r="AX12" i="1" s="1"/>
  <c r="BK12" i="1"/>
  <c r="AY12" i="1" s="1"/>
  <c r="BL12" i="1"/>
  <c r="AZ12" i="1" s="1"/>
  <c r="BM12" i="1"/>
  <c r="BA12" i="1" s="1"/>
  <c r="BN12" i="1"/>
  <c r="BB12" i="1" s="1"/>
  <c r="BO12" i="1"/>
  <c r="BC12" i="1" s="1"/>
  <c r="BP12" i="1"/>
  <c r="BD12" i="1" s="1"/>
  <c r="BQ12" i="1"/>
  <c r="BE12" i="1" s="1"/>
  <c r="BF13" i="1"/>
  <c r="BG13" i="1"/>
  <c r="AU13" i="1" s="1"/>
  <c r="BH13" i="1"/>
  <c r="BI13" i="1"/>
  <c r="AW13" i="1" s="1"/>
  <c r="BJ13" i="1"/>
  <c r="AX13" i="1" s="1"/>
  <c r="BK13" i="1"/>
  <c r="AY13" i="1" s="1"/>
  <c r="BL13" i="1"/>
  <c r="AZ13" i="1" s="1"/>
  <c r="BM13" i="1"/>
  <c r="BA13" i="1" s="1"/>
  <c r="BN13" i="1"/>
  <c r="BB13" i="1" s="1"/>
  <c r="BO13" i="1"/>
  <c r="BC13" i="1" s="1"/>
  <c r="BP13" i="1"/>
  <c r="BD13" i="1" s="1"/>
  <c r="BQ13" i="1"/>
  <c r="BE13" i="1" s="1"/>
  <c r="BF14" i="1"/>
  <c r="BG14" i="1"/>
  <c r="BH14" i="1"/>
  <c r="AV14" i="1" s="1"/>
  <c r="BI14" i="1"/>
  <c r="AW14" i="1" s="1"/>
  <c r="BJ14" i="1"/>
  <c r="AX14" i="1" s="1"/>
  <c r="BK14" i="1"/>
  <c r="AY14" i="1" s="1"/>
  <c r="BL14" i="1"/>
  <c r="AZ14" i="1" s="1"/>
  <c r="BM14" i="1"/>
  <c r="BA14" i="1" s="1"/>
  <c r="BN14" i="1"/>
  <c r="BB14" i="1" s="1"/>
  <c r="BO14" i="1"/>
  <c r="BC14" i="1" s="1"/>
  <c r="BP14" i="1"/>
  <c r="BD14" i="1" s="1"/>
  <c r="BQ14" i="1"/>
  <c r="BE14" i="1" s="1"/>
  <c r="BF15" i="1"/>
  <c r="BG15" i="1"/>
  <c r="AU15" i="1" s="1"/>
  <c r="BH15" i="1"/>
  <c r="AV15" i="1" s="1"/>
  <c r="BI15" i="1"/>
  <c r="AW15" i="1" s="1"/>
  <c r="BJ15" i="1"/>
  <c r="AX15" i="1" s="1"/>
  <c r="BK15" i="1"/>
  <c r="AY15" i="1" s="1"/>
  <c r="BL15" i="1"/>
  <c r="AZ15" i="1" s="1"/>
  <c r="BM15" i="1"/>
  <c r="BA15" i="1" s="1"/>
  <c r="BN15" i="1"/>
  <c r="BB15" i="1" s="1"/>
  <c r="BO15" i="1"/>
  <c r="BC15" i="1" s="1"/>
  <c r="BP15" i="1"/>
  <c r="BD15" i="1" s="1"/>
  <c r="BQ15" i="1"/>
  <c r="BE15" i="1" s="1"/>
  <c r="BF16" i="1"/>
  <c r="BG16" i="1"/>
  <c r="AU16" i="1" s="1"/>
  <c r="BH16" i="1"/>
  <c r="AV16" i="1" s="1"/>
  <c r="BI16" i="1"/>
  <c r="BJ16" i="1"/>
  <c r="AX16" i="1" s="1"/>
  <c r="BK16" i="1"/>
  <c r="AY16" i="1" s="1"/>
  <c r="BL16" i="1"/>
  <c r="AZ16" i="1" s="1"/>
  <c r="BM16" i="1"/>
  <c r="BA16" i="1" s="1"/>
  <c r="BN16" i="1"/>
  <c r="BB16" i="1" s="1"/>
  <c r="BO16" i="1"/>
  <c r="BC16" i="1" s="1"/>
  <c r="BP16" i="1"/>
  <c r="BD16" i="1" s="1"/>
  <c r="BQ16" i="1"/>
  <c r="BE16" i="1" s="1"/>
  <c r="BF17" i="1"/>
  <c r="BG17" i="1"/>
  <c r="AU17" i="1" s="1"/>
  <c r="BH17" i="1"/>
  <c r="AV17" i="1" s="1"/>
  <c r="BI17" i="1"/>
  <c r="AW17" i="1" s="1"/>
  <c r="BJ17" i="1"/>
  <c r="AX17" i="1" s="1"/>
  <c r="BK17" i="1"/>
  <c r="AY17" i="1" s="1"/>
  <c r="BL17" i="1"/>
  <c r="AZ17" i="1" s="1"/>
  <c r="BM17" i="1"/>
  <c r="BA17" i="1" s="1"/>
  <c r="BN17" i="1"/>
  <c r="BB17" i="1" s="1"/>
  <c r="BO17" i="1"/>
  <c r="BC17" i="1" s="1"/>
  <c r="BP17" i="1"/>
  <c r="BD17" i="1" s="1"/>
  <c r="BQ17" i="1"/>
  <c r="BE17" i="1" s="1"/>
  <c r="BF18" i="1"/>
  <c r="BG18" i="1"/>
  <c r="AU18" i="1" s="1"/>
  <c r="BH18" i="1"/>
  <c r="AV18" i="1" s="1"/>
  <c r="BI18" i="1"/>
  <c r="AW18" i="1" s="1"/>
  <c r="BJ18" i="1"/>
  <c r="AX18" i="1" s="1"/>
  <c r="BK18" i="1"/>
  <c r="AY18" i="1" s="1"/>
  <c r="BL18" i="1"/>
  <c r="AZ18" i="1" s="1"/>
  <c r="BM18" i="1"/>
  <c r="BA18" i="1" s="1"/>
  <c r="BN18" i="1"/>
  <c r="BB18" i="1" s="1"/>
  <c r="BO18" i="1"/>
  <c r="BC18" i="1" s="1"/>
  <c r="BP18" i="1"/>
  <c r="BD18" i="1" s="1"/>
  <c r="BQ18" i="1"/>
  <c r="BE18" i="1" s="1"/>
  <c r="BF19" i="1"/>
  <c r="BG19" i="1"/>
  <c r="AU19" i="1" s="1"/>
  <c r="BH19" i="1"/>
  <c r="AV19" i="1" s="1"/>
  <c r="BI19" i="1"/>
  <c r="AW19" i="1" s="1"/>
  <c r="BJ19" i="1"/>
  <c r="AX19" i="1" s="1"/>
  <c r="BK19" i="1"/>
  <c r="AY19" i="1" s="1"/>
  <c r="BL19" i="1"/>
  <c r="AZ19" i="1" s="1"/>
  <c r="BM19" i="1"/>
  <c r="BA19" i="1" s="1"/>
  <c r="BN19" i="1"/>
  <c r="BB19" i="1" s="1"/>
  <c r="BO19" i="1"/>
  <c r="BC19" i="1" s="1"/>
  <c r="BP19" i="1"/>
  <c r="BD19" i="1" s="1"/>
  <c r="BQ19" i="1"/>
  <c r="BE19" i="1" s="1"/>
  <c r="BF20" i="1"/>
  <c r="BG20" i="1"/>
  <c r="AU20" i="1" s="1"/>
  <c r="BH20" i="1"/>
  <c r="AV20" i="1" s="1"/>
  <c r="BI20" i="1"/>
  <c r="AW20" i="1" s="1"/>
  <c r="BJ20" i="1"/>
  <c r="AX20" i="1" s="1"/>
  <c r="BK20" i="1"/>
  <c r="AY20" i="1" s="1"/>
  <c r="BL20" i="1"/>
  <c r="AZ20" i="1" s="1"/>
  <c r="BM20" i="1"/>
  <c r="BA20" i="1" s="1"/>
  <c r="BN20" i="1"/>
  <c r="BB20" i="1" s="1"/>
  <c r="BO20" i="1"/>
  <c r="BC20" i="1" s="1"/>
  <c r="BP20" i="1"/>
  <c r="BD20" i="1" s="1"/>
  <c r="BQ20" i="1"/>
  <c r="BE20" i="1" s="1"/>
  <c r="BF21" i="1"/>
  <c r="BG21" i="1"/>
  <c r="AU21" i="1" s="1"/>
  <c r="BH21" i="1"/>
  <c r="AV21" i="1" s="1"/>
  <c r="BI21" i="1"/>
  <c r="BJ21" i="1"/>
  <c r="AX21" i="1" s="1"/>
  <c r="BK21" i="1"/>
  <c r="AY21" i="1" s="1"/>
  <c r="BL21" i="1"/>
  <c r="AZ21" i="1" s="1"/>
  <c r="BM21" i="1"/>
  <c r="BA21" i="1" s="1"/>
  <c r="BN21" i="1"/>
  <c r="BB21" i="1" s="1"/>
  <c r="BO21" i="1"/>
  <c r="BC21" i="1" s="1"/>
  <c r="BP21" i="1"/>
  <c r="BD21" i="1" s="1"/>
  <c r="BQ21" i="1"/>
  <c r="BE21" i="1" s="1"/>
  <c r="BG22" i="1"/>
  <c r="AU22" i="1" s="1"/>
  <c r="BH22" i="1"/>
  <c r="AV22" i="1" s="1"/>
  <c r="BI22" i="1"/>
  <c r="AW22" i="1" s="1"/>
  <c r="BJ22" i="1"/>
  <c r="AX22" i="1" s="1"/>
  <c r="BK22" i="1"/>
  <c r="AY22" i="1" s="1"/>
  <c r="BL22" i="1"/>
  <c r="AZ22" i="1" s="1"/>
  <c r="BM22" i="1"/>
  <c r="BA22" i="1" s="1"/>
  <c r="BN22" i="1"/>
  <c r="BB22" i="1" s="1"/>
  <c r="BO22" i="1"/>
  <c r="BC22" i="1" s="1"/>
  <c r="BP22" i="1"/>
  <c r="BD22" i="1" s="1"/>
  <c r="BQ22" i="1"/>
  <c r="BE22" i="1" s="1"/>
  <c r="BF22" i="1"/>
  <c r="E22" i="1"/>
  <c r="W3" i="2"/>
  <c r="AA3" i="2" s="1"/>
  <c r="X3" i="2"/>
  <c r="Y3" i="2"/>
  <c r="Z3" i="2"/>
  <c r="W4" i="2"/>
  <c r="AA4" i="2" s="1"/>
  <c r="X4" i="2"/>
  <c r="Y4" i="2"/>
  <c r="Z4" i="2"/>
  <c r="W5" i="2"/>
  <c r="AA5" i="2" s="1"/>
  <c r="X5" i="2"/>
  <c r="Y5" i="2"/>
  <c r="Z5" i="2"/>
  <c r="W6" i="2"/>
  <c r="AA6" i="2" s="1"/>
  <c r="X6" i="2"/>
  <c r="Y6" i="2"/>
  <c r="Z6" i="2"/>
  <c r="X2" i="2"/>
  <c r="Y2" i="2"/>
  <c r="Z2" i="2"/>
  <c r="W2" i="2"/>
  <c r="AA2" i="2" s="1"/>
  <c r="I3" i="2"/>
  <c r="I4" i="2"/>
  <c r="I5" i="2"/>
  <c r="I6" i="2"/>
  <c r="I2" i="2"/>
  <c r="E20" i="1"/>
  <c r="E21" i="1"/>
  <c r="E19" i="1"/>
  <c r="E14" i="1"/>
  <c r="E15" i="1"/>
  <c r="E16" i="1"/>
  <c r="E17" i="1"/>
  <c r="E18" i="1"/>
  <c r="E2" i="1"/>
  <c r="E3" i="1"/>
  <c r="E4" i="1"/>
  <c r="E5" i="1"/>
  <c r="E6" i="1"/>
  <c r="E7" i="1"/>
  <c r="E8" i="1"/>
  <c r="E9" i="1"/>
  <c r="E10" i="1"/>
  <c r="E11" i="1"/>
  <c r="E12" i="1"/>
  <c r="E13" i="1"/>
  <c r="BV10" i="1" l="1"/>
  <c r="BV21" i="1"/>
  <c r="BV20" i="1"/>
  <c r="AT11" i="1"/>
  <c r="BS11" i="1"/>
  <c r="BT11" i="1" s="1"/>
  <c r="AT6" i="1"/>
  <c r="BV6" i="1"/>
  <c r="BS6" i="1"/>
  <c r="BT6" i="1" s="1"/>
  <c r="AT15" i="1"/>
  <c r="BS15" i="1"/>
  <c r="BT15" i="1" s="1"/>
  <c r="BV15" i="1"/>
  <c r="AT10" i="1"/>
  <c r="BS10" i="1"/>
  <c r="BT10" i="1" s="1"/>
  <c r="AT5" i="1"/>
  <c r="BV5" i="1"/>
  <c r="BS5" i="1"/>
  <c r="BT5" i="1" s="1"/>
  <c r="BV11" i="1"/>
  <c r="AT19" i="1"/>
  <c r="BV19" i="1"/>
  <c r="BS19" i="1"/>
  <c r="BT19" i="1" s="1"/>
  <c r="AT14" i="1"/>
  <c r="BS14" i="1"/>
  <c r="BT14" i="1" s="1"/>
  <c r="BV14" i="1"/>
  <c r="AT9" i="1"/>
  <c r="BV9" i="1"/>
  <c r="BS9" i="1"/>
  <c r="BT9" i="1" s="1"/>
  <c r="AT4" i="1"/>
  <c r="BV4" i="1"/>
  <c r="BS4" i="1"/>
  <c r="BT4" i="1" s="1"/>
  <c r="AT21" i="1"/>
  <c r="BS21" i="1"/>
  <c r="BT21" i="1" s="1"/>
  <c r="AT20" i="1"/>
  <c r="BS20" i="1"/>
  <c r="BT20" i="1" s="1"/>
  <c r="AT18" i="1"/>
  <c r="BS18" i="1"/>
  <c r="BT18" i="1" s="1"/>
  <c r="BV18" i="1"/>
  <c r="AT13" i="1"/>
  <c r="BV13" i="1"/>
  <c r="BS13" i="1"/>
  <c r="BT13" i="1" s="1"/>
  <c r="AT8" i="1"/>
  <c r="BS8" i="1"/>
  <c r="BT8" i="1" s="1"/>
  <c r="BV8" i="1"/>
  <c r="AT22" i="1"/>
  <c r="BS22" i="1"/>
  <c r="BT22" i="1" s="1"/>
  <c r="BV22" i="1"/>
  <c r="AT3" i="1"/>
  <c r="BV3" i="1"/>
  <c r="BS3" i="1"/>
  <c r="BT3" i="1" s="1"/>
  <c r="AT17" i="1"/>
  <c r="BV17" i="1"/>
  <c r="BS17" i="1"/>
  <c r="BT17" i="1" s="1"/>
  <c r="AT12" i="1"/>
  <c r="BV12" i="1"/>
  <c r="BS12" i="1"/>
  <c r="BT12" i="1" s="1"/>
  <c r="AT7" i="1"/>
  <c r="BS7" i="1"/>
  <c r="BT7" i="1" s="1"/>
  <c r="BV7" i="1"/>
  <c r="AT2" i="1"/>
  <c r="BS2" i="1"/>
  <c r="BT2" i="1" s="1"/>
  <c r="BV2" i="1"/>
  <c r="AT16" i="1"/>
  <c r="BV16" i="1"/>
  <c r="BS16" i="1"/>
  <c r="BT16" i="1" s="1"/>
  <c r="AW21" i="1"/>
  <c r="AV13" i="1"/>
  <c r="AU5" i="1"/>
  <c r="AU14" i="1"/>
  <c r="AW16" i="1"/>
  <c r="AW8" i="1"/>
</calcChain>
</file>

<file path=xl/sharedStrings.xml><?xml version="1.0" encoding="utf-8"?>
<sst xmlns="http://schemas.openxmlformats.org/spreadsheetml/2006/main" count="233" uniqueCount="122">
  <si>
    <t>Test Reference</t>
  </si>
  <si>
    <t>Swimmer</t>
  </si>
  <si>
    <t>Date</t>
  </si>
  <si>
    <t>Gender</t>
  </si>
  <si>
    <t>Age</t>
  </si>
  <si>
    <t>Para</t>
  </si>
  <si>
    <t>Club</t>
  </si>
  <si>
    <t>Stroke</t>
  </si>
  <si>
    <t>100 m PB</t>
  </si>
  <si>
    <t>Time 1</t>
  </si>
  <si>
    <t>Time 2</t>
  </si>
  <si>
    <t>Time 3</t>
  </si>
  <si>
    <t>Time 4</t>
  </si>
  <si>
    <t>Time 5</t>
  </si>
  <si>
    <t>Time 6</t>
  </si>
  <si>
    <t>Time 7</t>
  </si>
  <si>
    <t>Time 8</t>
  </si>
  <si>
    <t>Time 9</t>
  </si>
  <si>
    <t>Time 10</t>
  </si>
  <si>
    <t>Time 11</t>
  </si>
  <si>
    <t>Time 12</t>
  </si>
  <si>
    <t>Stroke Rate 1</t>
  </si>
  <si>
    <t>Stroke Rate 2</t>
  </si>
  <si>
    <t>Stroke Rate 3</t>
  </si>
  <si>
    <t>Stroke Rate 4</t>
  </si>
  <si>
    <t>Stroke Rate 5</t>
  </si>
  <si>
    <t>Stroke Rate 6</t>
  </si>
  <si>
    <t>Stroke Rate 7</t>
  </si>
  <si>
    <t>Stroke Rate 8</t>
  </si>
  <si>
    <t>Stroke Rate 9</t>
  </si>
  <si>
    <t>Stroke Rate 10</t>
  </si>
  <si>
    <t>Stroke Rate 11</t>
  </si>
  <si>
    <t>Stroke Rate 12</t>
  </si>
  <si>
    <t>Stroke Count 1</t>
  </si>
  <si>
    <t>Stroke Count 2</t>
  </si>
  <si>
    <t>Stroke Count 3</t>
  </si>
  <si>
    <t>Stroke Count 4</t>
  </si>
  <si>
    <t>Stroke Count 5</t>
  </si>
  <si>
    <t>Stroke Count 6</t>
  </si>
  <si>
    <t>Stroke Count 7</t>
  </si>
  <si>
    <t>Stroke Count 8</t>
  </si>
  <si>
    <t>Stroke Count 9</t>
  </si>
  <si>
    <t>Stroke Count 10</t>
  </si>
  <si>
    <t>Stroke Count 11</t>
  </si>
  <si>
    <t>Stroke Count 12</t>
  </si>
  <si>
    <t>Stroke Efficiency Index 1</t>
  </si>
  <si>
    <t>Stroke Efficiency Index 2</t>
  </si>
  <si>
    <t>Stroke Efficiency Index 3</t>
  </si>
  <si>
    <t>Stroke Efficiency Index 4</t>
  </si>
  <si>
    <t>Stroke Efficiency Index 5</t>
  </si>
  <si>
    <t>Stroke Efficiency Index 6</t>
  </si>
  <si>
    <t>Stroke Efficiency Index 7</t>
  </si>
  <si>
    <t>Stroke Efficiency Index 8</t>
  </si>
  <si>
    <t>Stroke Efficiency Index 9</t>
  </si>
  <si>
    <t>Stroke Efficiency Index 10</t>
  </si>
  <si>
    <t>Stroke Efficiency Index 11</t>
  </si>
  <si>
    <t>Stroke Efficiency Index 12</t>
  </si>
  <si>
    <t>Velocity 1</t>
  </si>
  <si>
    <t>Velocity 2</t>
  </si>
  <si>
    <t>Velocity 3</t>
  </si>
  <si>
    <t>Velocity 4</t>
  </si>
  <si>
    <t>Velocity 5</t>
  </si>
  <si>
    <t>Velocity 6</t>
  </si>
  <si>
    <t>Velocity 7</t>
  </si>
  <si>
    <t>Velocity 8</t>
  </si>
  <si>
    <t>Velocity 9</t>
  </si>
  <si>
    <t>Velocity 10</t>
  </si>
  <si>
    <t>Velocity 11</t>
  </si>
  <si>
    <t>Velocity 12</t>
  </si>
  <si>
    <t>CV</t>
  </si>
  <si>
    <t>Dprime</t>
  </si>
  <si>
    <t>N</t>
  </si>
  <si>
    <t>Freestyle</t>
  </si>
  <si>
    <t>Butterfly</t>
  </si>
  <si>
    <t>Breaststroke</t>
  </si>
  <si>
    <t>Will Mcdonagh</t>
  </si>
  <si>
    <t>Male</t>
  </si>
  <si>
    <t>Knox Pymble</t>
  </si>
  <si>
    <t>Tane Bidois</t>
  </si>
  <si>
    <t>Toby Peknice</t>
  </si>
  <si>
    <t>Backstroke</t>
  </si>
  <si>
    <t>Tomas Kapocius</t>
  </si>
  <si>
    <t>Kai Lilienthal</t>
  </si>
  <si>
    <t>Koby Bujak-Upton</t>
  </si>
  <si>
    <t>Joseph Hamson</t>
  </si>
  <si>
    <t>Jack Cummins</t>
  </si>
  <si>
    <t>Angus Menzies</t>
  </si>
  <si>
    <t>Euan Liney</t>
  </si>
  <si>
    <t>DOB</t>
  </si>
  <si>
    <t>25_1</t>
  </si>
  <si>
    <t>25_2</t>
  </si>
  <si>
    <t>25_3</t>
  </si>
  <si>
    <t>25_4</t>
  </si>
  <si>
    <t>SR_1</t>
  </si>
  <si>
    <t>SR_2</t>
  </si>
  <si>
    <t>SR_3</t>
  </si>
  <si>
    <t>SR_4</t>
  </si>
  <si>
    <t>SC_1</t>
  </si>
  <si>
    <t>SC_2</t>
  </si>
  <si>
    <t>SC_3</t>
  </si>
  <si>
    <t>SC_4</t>
  </si>
  <si>
    <t>Peak_Speed</t>
  </si>
  <si>
    <t>Jack Cummin</t>
  </si>
  <si>
    <t>Tom Kapocius</t>
  </si>
  <si>
    <t>Blac_1</t>
  </si>
  <si>
    <t>Blac_0</t>
  </si>
  <si>
    <t>Blac_2</t>
  </si>
  <si>
    <t>Blac_3</t>
  </si>
  <si>
    <t>Blac_4</t>
  </si>
  <si>
    <t>Sindex_1</t>
  </si>
  <si>
    <t>Sindex_2</t>
  </si>
  <si>
    <t>Sindex_3</t>
  </si>
  <si>
    <t>Sindex_4</t>
  </si>
  <si>
    <t>Sindex_Best</t>
  </si>
  <si>
    <t>Test_Stroke</t>
  </si>
  <si>
    <t>Total Time</t>
  </si>
  <si>
    <t>Peak Speed</t>
  </si>
  <si>
    <t>ASR</t>
  </si>
  <si>
    <t>CV_100p_SCM</t>
  </si>
  <si>
    <t>CV_100p_LCM</t>
  </si>
  <si>
    <t>Tristen Waugh</t>
  </si>
  <si>
    <t>Daniel Seo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</si>
</sst>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"/>
  </numFmts>
  <fonts count="2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name val="Aptos"/>
    </font>
    <font>
      <sz val="12"/>
      <name val="Aptos"/>
    </font>
    <font>
      <b/>
      <sz val="12"/>
      <color theme="1"/>
      <name val="Aptos"/>
    </font>
    <font>
      <sz val="12"/>
      <color theme="1"/>
      <name val="Aptos"/>
    </font>
    <font>
      <sz val="12"/>
      <color rgb="FF000000"/>
      <name val="Aptos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AF2D0"/>
        <bgColor rgb="FFDAF2D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2" fontId="0" fillId="0" borderId="0" xfId="0" applyNumberFormat="1"/>
    <xf numFmtId="0" fontId="19" fillId="0" borderId="11" xfId="0" applyFont="1" applyBorder="1"/>
    <xf numFmtId="0" fontId="19" fillId="0" borderId="0" xfId="0" applyFont="1"/>
    <xf numFmtId="0" fontId="20" fillId="0" borderId="0" xfId="0" applyFont="1"/>
    <xf numFmtId="2" fontId="20" fillId="0" borderId="10" xfId="0" applyNumberFormat="1" applyFont="1" applyBorder="1"/>
    <xf numFmtId="2" fontId="20" fillId="0" borderId="11" xfId="0" applyNumberFormat="1" applyFont="1" applyBorder="1"/>
    <xf numFmtId="164" fontId="20" fillId="0" borderId="11" xfId="0" applyNumberFormat="1" applyFont="1" applyBorder="1"/>
    <xf numFmtId="2" fontId="20" fillId="0" borderId="11" xfId="42" applyNumberFormat="1" applyFont="1" applyFill="1" applyBorder="1"/>
    <xf numFmtId="0" fontId="21" fillId="0" borderId="0" xfId="0" applyFont="1"/>
    <xf numFmtId="0" fontId="22" fillId="0" borderId="0" xfId="0" applyFont="1"/>
    <xf numFmtId="14" fontId="22" fillId="33" borderId="0" xfId="0" applyNumberFormat="1" applyFont="1" applyFill="1"/>
    <xf numFmtId="0" fontId="22" fillId="33" borderId="0" xfId="0" applyFont="1" applyFill="1"/>
    <xf numFmtId="2" fontId="22" fillId="33" borderId="0" xfId="0" applyNumberFormat="1" applyFont="1" applyFill="1"/>
    <xf numFmtId="2" fontId="22" fillId="34" borderId="0" xfId="0" applyNumberFormat="1" applyFont="1" applyFill="1"/>
    <xf numFmtId="2" fontId="22" fillId="35" borderId="0" xfId="0" applyNumberFormat="1" applyFont="1" applyFill="1"/>
    <xf numFmtId="1" fontId="22" fillId="36" borderId="0" xfId="0" applyNumberFormat="1" applyFont="1" applyFill="1"/>
    <xf numFmtId="2" fontId="23" fillId="37" borderId="10" xfId="0" applyNumberFormat="1" applyFont="1" applyFill="1" applyBorder="1"/>
    <xf numFmtId="17" fontId="22" fillId="33" borderId="0" xfId="0" applyNumberFormat="1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 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29"/>
  <sheetViews>
    <sheetView tabSelected="1" zoomScale="150" workbookViewId="0">
      <pane xSplit="2" ySplit="1" topLeftCell="BI2" activePane="bottomRight" state="frozen"/>
      <selection pane="topRight" activeCell="C1" sqref="C1"/>
      <selection pane="bottomLeft" activeCell="A2" sqref="A2"/>
      <selection pane="bottomRight" activeCell="BU24" sqref="BU24"/>
    </sheetView>
  </sheetViews>
  <sheetFormatPr baseColWidth="10" defaultRowHeight="16" x14ac:dyDescent="0.2"/>
  <cols>
    <col min="1" max="1" width="15" style="11" bestFit="1" customWidth="1"/>
    <col min="2" max="2" width="17" style="11" bestFit="1" customWidth="1"/>
    <col min="3" max="3" width="7.33203125" style="11" bestFit="1" customWidth="1"/>
    <col min="4" max="4" width="8" style="11" bestFit="1" customWidth="1"/>
    <col min="5" max="5" width="6" style="11" bestFit="1" customWidth="1"/>
    <col min="6" max="6" width="5.33203125" style="11" bestFit="1" customWidth="1"/>
    <col min="7" max="8" width="12.1640625" style="11" bestFit="1" customWidth="1"/>
    <col min="9" max="9" width="9.5" style="11" bestFit="1" customWidth="1"/>
    <col min="10" max="18" width="7" style="11" bestFit="1" customWidth="1"/>
    <col min="19" max="21" width="8.1640625" style="11" bestFit="1" customWidth="1"/>
    <col min="22" max="30" width="13.1640625" style="11" bestFit="1" customWidth="1"/>
    <col min="31" max="33" width="14.33203125" style="11" bestFit="1" customWidth="1"/>
    <col min="34" max="42" width="14.5" style="11" bestFit="1" customWidth="1"/>
    <col min="43" max="45" width="15.6640625" style="11" bestFit="1" customWidth="1"/>
    <col min="46" max="54" width="23.6640625" style="11" bestFit="1" customWidth="1"/>
    <col min="55" max="57" width="24.83203125" style="11" bestFit="1" customWidth="1"/>
    <col min="58" max="66" width="10" style="11" bestFit="1" customWidth="1"/>
    <col min="67" max="69" width="11" style="11" bestFit="1" customWidth="1"/>
    <col min="70" max="70" width="10.6640625" style="11" bestFit="1" customWidth="1"/>
    <col min="71" max="71" width="12" style="11" bestFit="1" customWidth="1"/>
    <col min="72" max="72" width="4.83203125" style="11" bestFit="1" customWidth="1"/>
    <col min="73" max="73" width="5" style="11" bestFit="1" customWidth="1"/>
    <col min="74" max="74" width="8" style="11" bestFit="1" customWidth="1"/>
    <col min="75" max="75" width="14.33203125" style="11" bestFit="1" customWidth="1"/>
    <col min="76" max="76" width="14.1640625" style="11" bestFit="1" customWidth="1"/>
    <col min="77" max="16384" width="10.83203125" style="11"/>
  </cols>
  <sheetData>
    <row r="1" spans="1:76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10" t="s">
        <v>44</v>
      </c>
      <c r="AT1" s="10" t="s">
        <v>45</v>
      </c>
      <c r="AU1" s="10" t="s">
        <v>46</v>
      </c>
      <c r="AV1" s="10" t="s">
        <v>47</v>
      </c>
      <c r="AW1" s="10" t="s">
        <v>48</v>
      </c>
      <c r="AX1" s="10" t="s">
        <v>49</v>
      </c>
      <c r="AY1" s="10" t="s">
        <v>50</v>
      </c>
      <c r="AZ1" s="10" t="s">
        <v>51</v>
      </c>
      <c r="BA1" s="10" t="s">
        <v>52</v>
      </c>
      <c r="BB1" s="10" t="s">
        <v>53</v>
      </c>
      <c r="BC1" s="10" t="s">
        <v>54</v>
      </c>
      <c r="BD1" s="10" t="s">
        <v>55</v>
      </c>
      <c r="BE1" s="10" t="s">
        <v>56</v>
      </c>
      <c r="BF1" s="10" t="s">
        <v>57</v>
      </c>
      <c r="BG1" s="10" t="s">
        <v>58</v>
      </c>
      <c r="BH1" s="10" t="s">
        <v>59</v>
      </c>
      <c r="BI1" s="10" t="s">
        <v>60</v>
      </c>
      <c r="BJ1" s="10" t="s">
        <v>61</v>
      </c>
      <c r="BK1" s="10" t="s">
        <v>62</v>
      </c>
      <c r="BL1" s="10" t="s">
        <v>63</v>
      </c>
      <c r="BM1" s="10" t="s">
        <v>64</v>
      </c>
      <c r="BN1" s="10" t="s">
        <v>65</v>
      </c>
      <c r="BO1" s="10" t="s">
        <v>66</v>
      </c>
      <c r="BP1" s="10" t="s">
        <v>67</v>
      </c>
      <c r="BQ1" s="10" t="s">
        <v>68</v>
      </c>
      <c r="BR1" s="3" t="s">
        <v>115</v>
      </c>
      <c r="BS1" s="3" t="s">
        <v>116</v>
      </c>
      <c r="BT1" s="3" t="s">
        <v>117</v>
      </c>
      <c r="BU1" s="10" t="s">
        <v>69</v>
      </c>
      <c r="BV1" s="10" t="s">
        <v>70</v>
      </c>
      <c r="BW1" s="4" t="s">
        <v>118</v>
      </c>
      <c r="BX1" s="4" t="s">
        <v>119</v>
      </c>
    </row>
    <row r="2" spans="1:76" x14ac:dyDescent="0.2">
      <c r="A2" s="12">
        <v>38044</v>
      </c>
      <c r="B2" s="13" t="s">
        <v>75</v>
      </c>
      <c r="C2" s="19">
        <v>44944</v>
      </c>
      <c r="D2" s="13" t="s">
        <v>76</v>
      </c>
      <c r="E2" s="14">
        <f>(C2-A2)/365.25</f>
        <v>18.891170431211499</v>
      </c>
      <c r="F2" s="13" t="s">
        <v>71</v>
      </c>
      <c r="G2" s="13" t="s">
        <v>77</v>
      </c>
      <c r="H2" s="13" t="s">
        <v>72</v>
      </c>
      <c r="I2" s="13">
        <v>56.350000000000009</v>
      </c>
      <c r="J2" s="15">
        <v>12.16</v>
      </c>
      <c r="K2" s="15">
        <v>12.67</v>
      </c>
      <c r="L2" s="15">
        <v>14.25</v>
      </c>
      <c r="M2" s="15">
        <v>15.73</v>
      </c>
      <c r="N2" s="15">
        <v>16.739999999999998</v>
      </c>
      <c r="O2" s="15">
        <v>16.45</v>
      </c>
      <c r="P2" s="15">
        <v>16.39</v>
      </c>
      <c r="Q2" s="15">
        <v>16.87</v>
      </c>
      <c r="R2" s="15">
        <v>16.46</v>
      </c>
      <c r="S2" s="15">
        <v>16.62</v>
      </c>
      <c r="T2" s="15">
        <v>16.57</v>
      </c>
      <c r="U2" s="15">
        <v>16.61</v>
      </c>
      <c r="V2" s="16">
        <v>54.2</v>
      </c>
      <c r="W2" s="16">
        <v>50.2</v>
      </c>
      <c r="X2" s="16">
        <v>46</v>
      </c>
      <c r="Y2" s="16">
        <v>37.1</v>
      </c>
      <c r="Z2" s="16">
        <v>35.4</v>
      </c>
      <c r="AA2" s="16">
        <v>36.5</v>
      </c>
      <c r="AB2" s="16">
        <v>37.299999999999997</v>
      </c>
      <c r="AC2" s="16">
        <v>36.299999999999997</v>
      </c>
      <c r="AD2" s="16">
        <v>35.799999999999997</v>
      </c>
      <c r="AE2" s="16">
        <v>36.700000000000003</v>
      </c>
      <c r="AF2" s="16">
        <v>37</v>
      </c>
      <c r="AG2" s="16">
        <v>38.799999999999997</v>
      </c>
      <c r="AH2" s="17">
        <v>17</v>
      </c>
      <c r="AI2" s="17">
        <v>17</v>
      </c>
      <c r="AJ2" s="17">
        <v>17</v>
      </c>
      <c r="AK2" s="17">
        <v>17</v>
      </c>
      <c r="AL2" s="17">
        <v>17</v>
      </c>
      <c r="AM2" s="17">
        <v>17</v>
      </c>
      <c r="AN2" s="17">
        <v>17</v>
      </c>
      <c r="AO2" s="17">
        <v>17</v>
      </c>
      <c r="AP2" s="17">
        <v>17</v>
      </c>
      <c r="AQ2" s="17">
        <v>17</v>
      </c>
      <c r="AR2" s="17">
        <v>17</v>
      </c>
      <c r="AS2" s="17">
        <v>18</v>
      </c>
      <c r="AT2" s="18">
        <f t="shared" ref="AT2:AT22" si="0">BF2^2*(V2/60)</f>
        <v>3.8182196084372113</v>
      </c>
      <c r="AU2" s="18">
        <f t="shared" ref="AU2:AU22" si="1">BG2^2*(W2/60)</f>
        <v>3.2574612214166216</v>
      </c>
      <c r="AV2" s="18">
        <f t="shared" ref="AV2:AV22" si="2">BH2^2*(X2/60)</f>
        <v>2.3597004206422487</v>
      </c>
      <c r="AW2" s="18">
        <f t="shared" ref="AW2:AW22" si="3">BI2^2*(Y2/60)</f>
        <v>1.5618712520983806</v>
      </c>
      <c r="AX2" s="18">
        <f t="shared" ref="AX2:AX22" si="4">BJ2^2*(Z2/60)</f>
        <v>1.3158946513476906</v>
      </c>
      <c r="AY2" s="18">
        <f t="shared" ref="AY2:AY22" si="5">BK2^2*(AA2/60)</f>
        <v>1.4050436833855315</v>
      </c>
      <c r="AZ2" s="18">
        <f t="shared" ref="AZ2:AZ22" si="6">BL2^2*(AB2/60)</f>
        <v>1.4463709536822538</v>
      </c>
      <c r="BA2" s="18">
        <f t="shared" ref="BA2:BA22" si="7">BM2^2*(AC2/60)</f>
        <v>1.3286335866623984</v>
      </c>
      <c r="BB2" s="18">
        <f t="shared" ref="BB2:BB22" si="8">BN2^2*(AD2/60)</f>
        <v>1.376423668064805</v>
      </c>
      <c r="BC2" s="18">
        <f t="shared" ref="BC2:BC22" si="9">BO2^2*(AE2/60)</f>
        <v>1.383989490670146</v>
      </c>
      <c r="BD2" s="18">
        <f t="shared" ref="BD2:BD22" si="10">BP2^2*(AF2/60)</f>
        <v>1.403736117277433</v>
      </c>
      <c r="BE2" s="18">
        <f t="shared" ref="BE2:BE22" si="11">BQ2^2*(AG2/60)</f>
        <v>1.4649446891254467</v>
      </c>
      <c r="BF2" s="18">
        <f t="shared" ref="BF2:BF25" si="12">25/J2</f>
        <v>2.0559210526315788</v>
      </c>
      <c r="BG2" s="18">
        <f t="shared" ref="BG2:BG25" si="13">25/K2</f>
        <v>1.9731649565903711</v>
      </c>
      <c r="BH2" s="18">
        <f t="shared" ref="BH2:BH25" si="14">25/L2</f>
        <v>1.7543859649122806</v>
      </c>
      <c r="BI2" s="18">
        <f t="shared" ref="BI2:BI25" si="15">25/M2</f>
        <v>1.589319771137953</v>
      </c>
      <c r="BJ2" s="18">
        <f t="shared" ref="BJ2:BJ25" si="16">25/N2</f>
        <v>1.4934289127837517</v>
      </c>
      <c r="BK2" s="18">
        <f t="shared" ref="BK2:BK25" si="17">25/O2</f>
        <v>1.5197568389057752</v>
      </c>
      <c r="BL2" s="18">
        <f t="shared" ref="BL2:BL25" si="18">25/P2</f>
        <v>1.5253203172666259</v>
      </c>
      <c r="BM2" s="18">
        <f t="shared" ref="BM2:BM25" si="19">25/Q2</f>
        <v>1.4819205690574984</v>
      </c>
      <c r="BN2" s="18">
        <f t="shared" ref="BN2:BN25" si="20">25/R2</f>
        <v>1.5188335358444713</v>
      </c>
      <c r="BO2" s="18">
        <f t="shared" ref="BO2:BO25" si="21">25/S2</f>
        <v>1.5042117930204573</v>
      </c>
      <c r="BP2" s="18">
        <f t="shared" ref="BP2:BP25" si="22">25/T2</f>
        <v>1.5087507543753771</v>
      </c>
      <c r="BQ2" s="18">
        <f t="shared" ref="BQ2:BQ25" si="23">25/U2</f>
        <v>1.5051173991571343</v>
      </c>
      <c r="BR2" s="7">
        <f t="shared" ref="BR2:BR25" si="24">SUM(J2:U2)</f>
        <v>187.51999999999998</v>
      </c>
      <c r="BS2" s="7">
        <f t="shared" ref="BS2:BS25" si="25">MAX(BF2:BQ2)</f>
        <v>2.0559210526315788</v>
      </c>
      <c r="BT2" s="9">
        <f t="shared" ref="BT2:BT22" si="26">(BS2-BU2)/BS2</f>
        <v>0.26813120674089674</v>
      </c>
      <c r="BU2" s="7">
        <f t="shared" ref="BU2:BU25" si="27">25/(AVERAGE(LARGE(R2:U2, 1),LARGE(R2:U2, 2)))</f>
        <v>1.5046644598254588</v>
      </c>
      <c r="BV2" s="7">
        <f t="shared" ref="BV2:BV25" si="28">((BF2-BU2)*J2)
+(BG2-BU2)*K2+(0.5*(BF2-BG2)*K2)
+(BH2-BU2)*L2+(0.5*(BG2-BH2)*L2)
+(BI2-BU2)*M2+(0.5*(BH2-BI2)*M2)
+(BJ2-BU2)*N2+(0.5*(BI2-BJ2)*N2)
+(BK2-BU2)*O2+(0.5*(BJ2-BK2)*O2)
+(BL2-BU2)*P2+(0.5*(BK2-BL2)*P2)
+(BM2-BU2)*Q2+(0.5*(BL2-BM2)*Q2)
+(BN2-BU2)*R2+(0.5*(BM2-BN2)*R2)
+(BO2-BU2)*S2+(0.5*(BN2-BO2)*S2)
+(BP2-BU2)*T2+(0.5*(BO2-BP2)*T2)
+(BQ2-BU2)*U2+(0.5*(BP2-BQ2)*U2)</f>
        <v>21.943452441213093</v>
      </c>
      <c r="BW2" s="8">
        <f t="shared" ref="BW2:BW22" si="29">(100/((0.8518*BU2)+0.0925))/86400</f>
        <v>8.4225730676336223E-4</v>
      </c>
      <c r="BX2" s="8">
        <f t="shared" ref="BX2:BX22" si="30">(100/(((0.8518*BU2)+0.0925)*0.9554-0.0091))/86400</f>
        <v>8.8772869123920559E-4</v>
      </c>
    </row>
    <row r="3" spans="1:76" x14ac:dyDescent="0.2">
      <c r="A3" s="12">
        <v>38434</v>
      </c>
      <c r="B3" s="13" t="s">
        <v>78</v>
      </c>
      <c r="C3" s="19">
        <v>44946</v>
      </c>
      <c r="D3" s="13" t="s">
        <v>76</v>
      </c>
      <c r="E3" s="14">
        <f t="shared" ref="E3:E17" si="31">(C3-A3)/365.25</f>
        <v>17.828884325804243</v>
      </c>
      <c r="F3" s="13" t="s">
        <v>71</v>
      </c>
      <c r="G3" s="13" t="s">
        <v>77</v>
      </c>
      <c r="H3" s="13" t="s">
        <v>72</v>
      </c>
      <c r="I3" s="13">
        <v>51.390000000000008</v>
      </c>
      <c r="J3" s="15">
        <v>11.7</v>
      </c>
      <c r="K3" s="15">
        <v>12.62</v>
      </c>
      <c r="L3" s="15">
        <v>13.07</v>
      </c>
      <c r="M3" s="15">
        <v>13.66</v>
      </c>
      <c r="N3" s="15">
        <v>14.71</v>
      </c>
      <c r="O3" s="15">
        <v>14.67</v>
      </c>
      <c r="P3" s="15">
        <v>15.22</v>
      </c>
      <c r="Q3" s="15">
        <v>15</v>
      </c>
      <c r="R3" s="15">
        <v>14.94</v>
      </c>
      <c r="S3" s="15">
        <v>14.71</v>
      </c>
      <c r="T3" s="15">
        <v>15.68</v>
      </c>
      <c r="U3" s="15">
        <v>14.84</v>
      </c>
      <c r="V3" s="16">
        <v>52</v>
      </c>
      <c r="W3" s="16">
        <v>47.9</v>
      </c>
      <c r="X3" s="16">
        <v>45.6</v>
      </c>
      <c r="Y3" s="16">
        <v>43</v>
      </c>
      <c r="Z3" s="16">
        <v>41</v>
      </c>
      <c r="AA3" s="16">
        <v>41.2</v>
      </c>
      <c r="AB3" s="16">
        <v>40</v>
      </c>
      <c r="AC3" s="16">
        <v>39.5</v>
      </c>
      <c r="AD3" s="16">
        <v>40.4</v>
      </c>
      <c r="AE3" s="16">
        <v>40.700000000000003</v>
      </c>
      <c r="AF3" s="16">
        <v>38</v>
      </c>
      <c r="AG3" s="16">
        <v>39.700000000000003</v>
      </c>
      <c r="AH3" s="17">
        <v>13</v>
      </c>
      <c r="AI3" s="17">
        <v>14</v>
      </c>
      <c r="AJ3" s="17">
        <v>16</v>
      </c>
      <c r="AK3" s="17">
        <v>15</v>
      </c>
      <c r="AL3" s="17">
        <v>17</v>
      </c>
      <c r="AM3" s="17">
        <v>17</v>
      </c>
      <c r="AN3" s="17">
        <v>17</v>
      </c>
      <c r="AO3" s="17">
        <v>16</v>
      </c>
      <c r="AP3" s="17">
        <v>17</v>
      </c>
      <c r="AQ3" s="17">
        <v>17</v>
      </c>
      <c r="AR3" s="17">
        <v>17</v>
      </c>
      <c r="AS3" s="17">
        <v>17</v>
      </c>
      <c r="AT3" s="18">
        <f t="shared" si="0"/>
        <v>3.9569484013928458</v>
      </c>
      <c r="AU3" s="18">
        <f t="shared" si="1"/>
        <v>3.132893059172881</v>
      </c>
      <c r="AV3" s="18">
        <f t="shared" si="2"/>
        <v>2.7806250728084723</v>
      </c>
      <c r="AW3" s="18">
        <f t="shared" si="3"/>
        <v>2.4004674636843881</v>
      </c>
      <c r="AX3" s="18">
        <f t="shared" si="4"/>
        <v>1.9737278909741212</v>
      </c>
      <c r="AY3" s="18">
        <f t="shared" si="5"/>
        <v>1.9941864238266482</v>
      </c>
      <c r="AZ3" s="18">
        <f t="shared" si="6"/>
        <v>1.798702976867816</v>
      </c>
      <c r="BA3" s="18">
        <f t="shared" si="7"/>
        <v>1.8287037037037039</v>
      </c>
      <c r="BB3" s="18">
        <f t="shared" si="8"/>
        <v>1.8854235923315457</v>
      </c>
      <c r="BC3" s="18">
        <f t="shared" si="9"/>
        <v>1.9592859795767497</v>
      </c>
      <c r="BD3" s="18">
        <f t="shared" si="10"/>
        <v>1.6099791319589063</v>
      </c>
      <c r="BE3" s="18">
        <f t="shared" si="11"/>
        <v>1.8778092404637183</v>
      </c>
      <c r="BF3" s="18">
        <f t="shared" si="12"/>
        <v>2.1367521367521367</v>
      </c>
      <c r="BG3" s="18">
        <f t="shared" si="13"/>
        <v>1.9809825673534074</v>
      </c>
      <c r="BH3" s="18">
        <f t="shared" si="14"/>
        <v>1.9127773527161438</v>
      </c>
      <c r="BI3" s="18">
        <f t="shared" si="15"/>
        <v>1.8301610541727671</v>
      </c>
      <c r="BJ3" s="18">
        <f t="shared" si="16"/>
        <v>1.699524133242692</v>
      </c>
      <c r="BK3" s="18">
        <f t="shared" si="17"/>
        <v>1.7041581458759374</v>
      </c>
      <c r="BL3" s="18">
        <f t="shared" si="18"/>
        <v>1.6425755584756898</v>
      </c>
      <c r="BM3" s="18">
        <f t="shared" si="19"/>
        <v>1.6666666666666667</v>
      </c>
      <c r="BN3" s="18">
        <f t="shared" si="20"/>
        <v>1.673360107095047</v>
      </c>
      <c r="BO3" s="18">
        <f t="shared" si="21"/>
        <v>1.699524133242692</v>
      </c>
      <c r="BP3" s="18">
        <f t="shared" si="22"/>
        <v>1.5943877551020409</v>
      </c>
      <c r="BQ3" s="18">
        <f t="shared" si="23"/>
        <v>1.6846361185983827</v>
      </c>
      <c r="BR3" s="7">
        <f t="shared" si="24"/>
        <v>170.82</v>
      </c>
      <c r="BS3" s="7">
        <f t="shared" si="25"/>
        <v>2.1367521367521367</v>
      </c>
      <c r="BT3" s="9">
        <f t="shared" si="26"/>
        <v>0.23579359895493135</v>
      </c>
      <c r="BU3" s="7">
        <f t="shared" si="27"/>
        <v>1.6329196603527107</v>
      </c>
      <c r="BV3" s="7">
        <f t="shared" si="28"/>
        <v>24.184554182785039</v>
      </c>
      <c r="BW3" s="8">
        <f t="shared" si="29"/>
        <v>7.802285618162604E-4</v>
      </c>
      <c r="BX3" s="8">
        <f t="shared" si="30"/>
        <v>8.2192867682748922E-4</v>
      </c>
    </row>
    <row r="4" spans="1:76" x14ac:dyDescent="0.2">
      <c r="A4" s="12">
        <v>37776</v>
      </c>
      <c r="B4" s="13" t="s">
        <v>79</v>
      </c>
      <c r="C4" s="19">
        <v>44944</v>
      </c>
      <c r="D4" s="13" t="s">
        <v>76</v>
      </c>
      <c r="E4" s="14">
        <f t="shared" si="31"/>
        <v>19.6249144421629</v>
      </c>
      <c r="F4" s="13" t="s">
        <v>71</v>
      </c>
      <c r="G4" s="13" t="s">
        <v>77</v>
      </c>
      <c r="H4" s="13" t="s">
        <v>80</v>
      </c>
      <c r="I4" s="13">
        <v>57.36999999999999</v>
      </c>
      <c r="J4" s="15">
        <v>12.82</v>
      </c>
      <c r="K4" s="15">
        <v>14.03</v>
      </c>
      <c r="L4" s="15">
        <v>14.66</v>
      </c>
      <c r="M4" s="15">
        <v>15.5</v>
      </c>
      <c r="N4" s="15">
        <v>15.69</v>
      </c>
      <c r="O4" s="15">
        <v>15.84</v>
      </c>
      <c r="P4" s="15">
        <v>16.2</v>
      </c>
      <c r="Q4" s="15">
        <v>16.239999999999998</v>
      </c>
      <c r="R4" s="15">
        <v>16.75</v>
      </c>
      <c r="S4" s="15">
        <v>16.489999999999998</v>
      </c>
      <c r="T4" s="15">
        <v>16.77</v>
      </c>
      <c r="U4" s="15">
        <v>16.309999999999999</v>
      </c>
      <c r="V4" s="16">
        <v>48.9</v>
      </c>
      <c r="W4" s="16">
        <v>44.9</v>
      </c>
      <c r="X4" s="16">
        <v>41.8</v>
      </c>
      <c r="Y4" s="16">
        <v>40.4</v>
      </c>
      <c r="Z4" s="16">
        <v>40.200000000000003</v>
      </c>
      <c r="AA4" s="16">
        <v>39.700000000000003</v>
      </c>
      <c r="AB4" s="16">
        <v>38.200000000000003</v>
      </c>
      <c r="AC4" s="16">
        <v>41.1</v>
      </c>
      <c r="AD4" s="16">
        <v>39</v>
      </c>
      <c r="AE4" s="16">
        <v>37.5</v>
      </c>
      <c r="AF4" s="16">
        <v>37.9</v>
      </c>
      <c r="AG4" s="16">
        <v>39.299999999999997</v>
      </c>
      <c r="AH4" s="17">
        <v>14</v>
      </c>
      <c r="AI4" s="17">
        <v>15</v>
      </c>
      <c r="AJ4" s="17">
        <v>16</v>
      </c>
      <c r="AK4" s="17">
        <v>16</v>
      </c>
      <c r="AL4" s="17">
        <v>16</v>
      </c>
      <c r="AM4" s="17">
        <v>16</v>
      </c>
      <c r="AN4" s="17">
        <v>17</v>
      </c>
      <c r="AO4" s="17">
        <v>17</v>
      </c>
      <c r="AP4" s="17">
        <v>17</v>
      </c>
      <c r="AQ4" s="17">
        <v>17</v>
      </c>
      <c r="AR4" s="17">
        <v>17</v>
      </c>
      <c r="AS4" s="17">
        <v>17</v>
      </c>
      <c r="AT4" s="18">
        <f t="shared" si="0"/>
        <v>3.0992854378761732</v>
      </c>
      <c r="AU4" s="18">
        <f t="shared" si="1"/>
        <v>2.3760729265784364</v>
      </c>
      <c r="AV4" s="18">
        <f t="shared" si="2"/>
        <v>2.0259891169680877</v>
      </c>
      <c r="AW4" s="18">
        <f t="shared" si="3"/>
        <v>1.7516475893166836</v>
      </c>
      <c r="AX4" s="18">
        <f t="shared" si="4"/>
        <v>1.7010180923330902</v>
      </c>
      <c r="AY4" s="18">
        <f t="shared" si="5"/>
        <v>1.6481962406047004</v>
      </c>
      <c r="AZ4" s="18">
        <f t="shared" si="6"/>
        <v>1.5162195803485243</v>
      </c>
      <c r="BA4" s="18">
        <f t="shared" si="7"/>
        <v>1.6232990669513947</v>
      </c>
      <c r="BB4" s="18">
        <f t="shared" si="8"/>
        <v>1.4479839607930498</v>
      </c>
      <c r="BC4" s="18">
        <f t="shared" si="9"/>
        <v>1.4365433081261743</v>
      </c>
      <c r="BD4" s="18">
        <f t="shared" si="10"/>
        <v>1.4037890540781917</v>
      </c>
      <c r="BE4" s="18">
        <f t="shared" si="11"/>
        <v>1.5389106148086527</v>
      </c>
      <c r="BF4" s="18">
        <f t="shared" si="12"/>
        <v>1.9500780031201248</v>
      </c>
      <c r="BG4" s="18">
        <f t="shared" si="13"/>
        <v>1.7818959372772631</v>
      </c>
      <c r="BH4" s="18">
        <f t="shared" si="14"/>
        <v>1.7053206002728514</v>
      </c>
      <c r="BI4" s="18">
        <f t="shared" si="15"/>
        <v>1.6129032258064515</v>
      </c>
      <c r="BJ4" s="18">
        <f t="shared" si="16"/>
        <v>1.5933715742511154</v>
      </c>
      <c r="BK4" s="18">
        <f t="shared" si="17"/>
        <v>1.5782828282828283</v>
      </c>
      <c r="BL4" s="18">
        <f t="shared" si="18"/>
        <v>1.5432098765432098</v>
      </c>
      <c r="BM4" s="18">
        <f t="shared" si="19"/>
        <v>1.5394088669950741</v>
      </c>
      <c r="BN4" s="18">
        <f t="shared" si="20"/>
        <v>1.4925373134328359</v>
      </c>
      <c r="BO4" s="18">
        <f t="shared" si="21"/>
        <v>1.516070345664039</v>
      </c>
      <c r="BP4" s="18">
        <f t="shared" si="22"/>
        <v>1.4907573047107932</v>
      </c>
      <c r="BQ4" s="18">
        <f t="shared" si="23"/>
        <v>1.5328019619865114</v>
      </c>
      <c r="BR4" s="7">
        <f t="shared" si="24"/>
        <v>187.30000000000004</v>
      </c>
      <c r="BS4" s="7">
        <f t="shared" si="25"/>
        <v>1.9500780031201248</v>
      </c>
      <c r="BT4" s="9">
        <f t="shared" si="26"/>
        <v>0.23508353221957029</v>
      </c>
      <c r="BU4" s="7">
        <f t="shared" si="27"/>
        <v>1.4916467780429596</v>
      </c>
      <c r="BV4" s="7">
        <f t="shared" si="28"/>
        <v>23.727466396587467</v>
      </c>
      <c r="BW4" s="8">
        <f t="shared" si="29"/>
        <v>8.4910892604378777E-4</v>
      </c>
      <c r="BX4" s="8">
        <f t="shared" si="30"/>
        <v>8.9500102926861355E-4</v>
      </c>
    </row>
    <row r="5" spans="1:76" x14ac:dyDescent="0.2">
      <c r="A5" s="12">
        <v>37316</v>
      </c>
      <c r="B5" s="13" t="s">
        <v>81</v>
      </c>
      <c r="C5" s="19">
        <v>44946</v>
      </c>
      <c r="D5" s="13" t="s">
        <v>76</v>
      </c>
      <c r="E5" s="14">
        <f t="shared" si="31"/>
        <v>20.889801505817932</v>
      </c>
      <c r="F5" s="13" t="s">
        <v>71</v>
      </c>
      <c r="G5" s="13" t="s">
        <v>77</v>
      </c>
      <c r="H5" s="13" t="s">
        <v>72</v>
      </c>
      <c r="I5" s="13">
        <v>50.22</v>
      </c>
      <c r="J5" s="15">
        <v>11.7</v>
      </c>
      <c r="K5" s="15">
        <v>12.26</v>
      </c>
      <c r="L5" s="15">
        <v>12.8</v>
      </c>
      <c r="M5" s="15">
        <v>13.38</v>
      </c>
      <c r="N5" s="15">
        <v>13.86</v>
      </c>
      <c r="O5" s="15">
        <v>14.23</v>
      </c>
      <c r="P5" s="15">
        <v>14.25</v>
      </c>
      <c r="Q5" s="15">
        <v>14.46</v>
      </c>
      <c r="R5" s="15">
        <v>14.47</v>
      </c>
      <c r="S5" s="15">
        <v>14.65</v>
      </c>
      <c r="T5" s="15">
        <v>14.54</v>
      </c>
      <c r="U5" s="15">
        <v>14.68</v>
      </c>
      <c r="V5" s="16">
        <v>54.2</v>
      </c>
      <c r="W5" s="16">
        <v>52.3</v>
      </c>
      <c r="X5" s="16">
        <v>48.7</v>
      </c>
      <c r="Y5" s="16">
        <v>45.9</v>
      </c>
      <c r="Z5" s="16">
        <v>42.5</v>
      </c>
      <c r="AA5" s="16">
        <v>41</v>
      </c>
      <c r="AB5" s="16">
        <v>42.1</v>
      </c>
      <c r="AC5" s="16">
        <v>40.700000000000003</v>
      </c>
      <c r="AD5" s="16">
        <v>38.700000000000003</v>
      </c>
      <c r="AE5" s="16">
        <v>39.700000000000003</v>
      </c>
      <c r="AF5" s="16">
        <v>39.799999999999997</v>
      </c>
      <c r="AG5" s="16">
        <v>39.299999999999997</v>
      </c>
      <c r="AH5" s="17">
        <v>15</v>
      </c>
      <c r="AI5" s="17">
        <v>16</v>
      </c>
      <c r="AJ5" s="17">
        <v>16</v>
      </c>
      <c r="AK5" s="17">
        <v>16</v>
      </c>
      <c r="AL5" s="17">
        <v>15</v>
      </c>
      <c r="AM5" s="17">
        <v>16</v>
      </c>
      <c r="AN5" s="17">
        <v>16</v>
      </c>
      <c r="AO5" s="17">
        <v>16</v>
      </c>
      <c r="AP5" s="17">
        <v>16</v>
      </c>
      <c r="AQ5" s="17">
        <v>16</v>
      </c>
      <c r="AR5" s="17">
        <v>16</v>
      </c>
      <c r="AS5" s="17">
        <v>16</v>
      </c>
      <c r="AT5" s="18">
        <f t="shared" si="0"/>
        <v>4.1243577568363889</v>
      </c>
      <c r="AU5" s="18">
        <f t="shared" si="1"/>
        <v>3.6245117789563976</v>
      </c>
      <c r="AV5" s="18">
        <f t="shared" si="2"/>
        <v>3.096262613932292</v>
      </c>
      <c r="AW5" s="18">
        <f t="shared" si="3"/>
        <v>2.6707253312956225</v>
      </c>
      <c r="AX5" s="18">
        <f t="shared" si="4"/>
        <v>2.3045770700893362</v>
      </c>
      <c r="AY5" s="18">
        <f t="shared" si="5"/>
        <v>2.109127447596105</v>
      </c>
      <c r="AZ5" s="18">
        <f t="shared" si="6"/>
        <v>2.1596388632399708</v>
      </c>
      <c r="BA5" s="18">
        <f t="shared" si="7"/>
        <v>2.0276201116320944</v>
      </c>
      <c r="BB5" s="18">
        <f t="shared" si="8"/>
        <v>1.92531888056647</v>
      </c>
      <c r="BC5" s="18">
        <f t="shared" si="9"/>
        <v>1.9268327722706924</v>
      </c>
      <c r="BD5" s="18">
        <f t="shared" si="10"/>
        <v>1.9610245290860735</v>
      </c>
      <c r="BE5" s="18">
        <f t="shared" si="11"/>
        <v>1.8996308161765247</v>
      </c>
      <c r="BF5" s="18">
        <f t="shared" si="12"/>
        <v>2.1367521367521367</v>
      </c>
      <c r="BG5" s="18">
        <f t="shared" si="13"/>
        <v>2.0391517128874388</v>
      </c>
      <c r="BH5" s="18">
        <f t="shared" si="14"/>
        <v>1.953125</v>
      </c>
      <c r="BI5" s="18">
        <f t="shared" si="15"/>
        <v>1.8684603886397608</v>
      </c>
      <c r="BJ5" s="18">
        <f t="shared" si="16"/>
        <v>1.8037518037518039</v>
      </c>
      <c r="BK5" s="18">
        <f t="shared" si="17"/>
        <v>1.7568517217146873</v>
      </c>
      <c r="BL5" s="18">
        <f t="shared" si="18"/>
        <v>1.7543859649122806</v>
      </c>
      <c r="BM5" s="18">
        <f t="shared" si="19"/>
        <v>1.7289073305670815</v>
      </c>
      <c r="BN5" s="18">
        <f t="shared" si="20"/>
        <v>1.7277125086385625</v>
      </c>
      <c r="BO5" s="18">
        <f t="shared" si="21"/>
        <v>1.7064846416382251</v>
      </c>
      <c r="BP5" s="18">
        <f t="shared" si="22"/>
        <v>1.71939477303989</v>
      </c>
      <c r="BQ5" s="18">
        <f t="shared" si="23"/>
        <v>1.7029972752043596</v>
      </c>
      <c r="BR5" s="7">
        <f t="shared" si="24"/>
        <v>165.28</v>
      </c>
      <c r="BS5" s="7">
        <f t="shared" si="25"/>
        <v>2.1367521367521367</v>
      </c>
      <c r="BT5" s="9">
        <f t="shared" si="26"/>
        <v>0.2021820661438799</v>
      </c>
      <c r="BU5" s="7">
        <f t="shared" si="27"/>
        <v>1.7047391749062395</v>
      </c>
      <c r="BV5" s="7">
        <f t="shared" si="28"/>
        <v>21.130520244020499</v>
      </c>
      <c r="BW5" s="8">
        <f t="shared" si="29"/>
        <v>7.493265462793987E-4</v>
      </c>
      <c r="BX5" s="8">
        <f t="shared" si="30"/>
        <v>7.8917308297380404E-4</v>
      </c>
    </row>
    <row r="6" spans="1:76" x14ac:dyDescent="0.2">
      <c r="A6" s="12">
        <v>38632</v>
      </c>
      <c r="B6" s="13" t="s">
        <v>82</v>
      </c>
      <c r="C6" s="19">
        <v>44946</v>
      </c>
      <c r="D6" s="13" t="s">
        <v>76</v>
      </c>
      <c r="E6" s="14">
        <f t="shared" si="31"/>
        <v>17.286789869952088</v>
      </c>
      <c r="F6" s="13" t="s">
        <v>71</v>
      </c>
      <c r="G6" s="13" t="s">
        <v>77</v>
      </c>
      <c r="H6" s="13" t="s">
        <v>73</v>
      </c>
      <c r="I6" s="13">
        <v>59.680000000000007</v>
      </c>
      <c r="J6" s="15">
        <v>12.8</v>
      </c>
      <c r="K6" s="15">
        <v>13.65</v>
      </c>
      <c r="L6" s="15">
        <v>14.05</v>
      </c>
      <c r="M6" s="15">
        <v>14.58</v>
      </c>
      <c r="N6" s="15">
        <v>14.96</v>
      </c>
      <c r="O6" s="15">
        <v>15.3</v>
      </c>
      <c r="P6" s="15">
        <v>15.81</v>
      </c>
      <c r="Q6" s="15">
        <v>15.47</v>
      </c>
      <c r="R6" s="15">
        <v>15.97</v>
      </c>
      <c r="S6" s="15">
        <v>15.9</v>
      </c>
      <c r="T6" s="15">
        <v>16</v>
      </c>
      <c r="U6" s="15">
        <v>15.98</v>
      </c>
      <c r="V6" s="16">
        <v>53.3</v>
      </c>
      <c r="W6" s="16">
        <v>50.7</v>
      </c>
      <c r="X6" s="16">
        <v>50.5</v>
      </c>
      <c r="Y6" s="16">
        <v>48</v>
      </c>
      <c r="Z6" s="16">
        <v>48.5</v>
      </c>
      <c r="AA6" s="16">
        <v>47.8</v>
      </c>
      <c r="AB6" s="16">
        <v>47.5</v>
      </c>
      <c r="AC6" s="16">
        <v>47.8</v>
      </c>
      <c r="AD6" s="16">
        <v>44.9</v>
      </c>
      <c r="AE6" s="16">
        <v>44.3</v>
      </c>
      <c r="AF6" s="16">
        <v>48.2</v>
      </c>
      <c r="AG6" s="16">
        <v>46.2</v>
      </c>
      <c r="AH6" s="17">
        <v>9</v>
      </c>
      <c r="AI6" s="17">
        <v>10</v>
      </c>
      <c r="AJ6" s="17">
        <v>10</v>
      </c>
      <c r="AK6" s="17">
        <v>10</v>
      </c>
      <c r="AL6" s="17">
        <v>10</v>
      </c>
      <c r="AM6" s="17">
        <v>10</v>
      </c>
      <c r="AN6" s="17">
        <v>10</v>
      </c>
      <c r="AO6" s="17">
        <v>10</v>
      </c>
      <c r="AP6" s="17">
        <v>10</v>
      </c>
      <c r="AQ6" s="17">
        <v>10</v>
      </c>
      <c r="AR6" s="17">
        <v>10</v>
      </c>
      <c r="AS6" s="17">
        <v>10</v>
      </c>
      <c r="AT6" s="18">
        <f t="shared" si="0"/>
        <v>3.388722737630208</v>
      </c>
      <c r="AU6" s="18">
        <f t="shared" si="1"/>
        <v>2.8344671201814062</v>
      </c>
      <c r="AV6" s="18">
        <f t="shared" si="2"/>
        <v>2.6648176525964291</v>
      </c>
      <c r="AW6" s="18">
        <f t="shared" si="3"/>
        <v>2.3520955289486505</v>
      </c>
      <c r="AX6" s="18">
        <f t="shared" si="4"/>
        <v>2.2573937511319544</v>
      </c>
      <c r="AY6" s="18">
        <f t="shared" si="5"/>
        <v>2.1270309140359123</v>
      </c>
      <c r="AZ6" s="18">
        <f t="shared" si="6"/>
        <v>1.9795142693723684</v>
      </c>
      <c r="BA6" s="18">
        <f t="shared" si="7"/>
        <v>2.0805398386295</v>
      </c>
      <c r="BB6" s="18">
        <f t="shared" si="8"/>
        <v>1.8338561906475914</v>
      </c>
      <c r="BC6" s="18">
        <f t="shared" si="9"/>
        <v>1.8253167728069823</v>
      </c>
      <c r="BD6" s="18">
        <f t="shared" si="10"/>
        <v>1.9612630208333333</v>
      </c>
      <c r="BE6" s="18">
        <f t="shared" si="11"/>
        <v>1.8845913461915003</v>
      </c>
      <c r="BF6" s="18">
        <f t="shared" si="12"/>
        <v>1.953125</v>
      </c>
      <c r="BG6" s="18">
        <f t="shared" si="13"/>
        <v>1.8315018315018314</v>
      </c>
      <c r="BH6" s="18">
        <f t="shared" si="14"/>
        <v>1.779359430604982</v>
      </c>
      <c r="BI6" s="18">
        <f t="shared" si="15"/>
        <v>1.7146776406035664</v>
      </c>
      <c r="BJ6" s="18">
        <f t="shared" si="16"/>
        <v>1.6711229946524062</v>
      </c>
      <c r="BK6" s="18">
        <f t="shared" si="17"/>
        <v>1.6339869281045751</v>
      </c>
      <c r="BL6" s="18">
        <f t="shared" si="18"/>
        <v>1.5812776723592663</v>
      </c>
      <c r="BM6" s="18">
        <f t="shared" si="19"/>
        <v>1.6160310277957337</v>
      </c>
      <c r="BN6" s="18">
        <f t="shared" si="20"/>
        <v>1.5654351909830932</v>
      </c>
      <c r="BO6" s="18">
        <f t="shared" si="21"/>
        <v>1.5723270440251571</v>
      </c>
      <c r="BP6" s="18">
        <f t="shared" si="22"/>
        <v>1.5625</v>
      </c>
      <c r="BQ6" s="18">
        <f t="shared" si="23"/>
        <v>1.5644555694618272</v>
      </c>
      <c r="BR6" s="7">
        <f t="shared" si="24"/>
        <v>180.47</v>
      </c>
      <c r="BS6" s="7">
        <f t="shared" si="25"/>
        <v>1.953125</v>
      </c>
      <c r="BT6" s="9">
        <f t="shared" si="26"/>
        <v>0.19949968730456533</v>
      </c>
      <c r="BU6" s="7">
        <f t="shared" si="27"/>
        <v>1.5634771732332708</v>
      </c>
      <c r="BV6" s="7">
        <f t="shared" si="28"/>
        <v>20.677121287639245</v>
      </c>
      <c r="BW6" s="8">
        <f t="shared" si="29"/>
        <v>8.1263210226735635E-4</v>
      </c>
      <c r="BX6" s="8">
        <f t="shared" si="30"/>
        <v>8.5629387500679027E-4</v>
      </c>
    </row>
    <row r="7" spans="1:76" x14ac:dyDescent="0.2">
      <c r="A7" s="12">
        <v>38699</v>
      </c>
      <c r="B7" s="13" t="s">
        <v>83</v>
      </c>
      <c r="C7" s="19">
        <v>44946</v>
      </c>
      <c r="D7" s="13" t="s">
        <v>76</v>
      </c>
      <c r="E7" s="14">
        <f t="shared" si="31"/>
        <v>17.103353867214238</v>
      </c>
      <c r="F7" s="13" t="s">
        <v>71</v>
      </c>
      <c r="G7" s="13" t="s">
        <v>77</v>
      </c>
      <c r="H7" s="13" t="s">
        <v>72</v>
      </c>
      <c r="I7" s="13">
        <v>50.92</v>
      </c>
      <c r="J7" s="15">
        <v>11.79</v>
      </c>
      <c r="K7" s="15">
        <v>12.54</v>
      </c>
      <c r="L7" s="15">
        <v>12.72</v>
      </c>
      <c r="M7" s="15">
        <v>12.69</v>
      </c>
      <c r="N7" s="15">
        <v>13.15</v>
      </c>
      <c r="O7" s="15">
        <v>13.32</v>
      </c>
      <c r="P7" s="15">
        <v>13.62</v>
      </c>
      <c r="Q7" s="15">
        <v>13.79</v>
      </c>
      <c r="R7" s="15">
        <v>14.35</v>
      </c>
      <c r="S7" s="15">
        <v>14.71</v>
      </c>
      <c r="T7" s="15">
        <v>14.28</v>
      </c>
      <c r="U7" s="15">
        <v>14.18</v>
      </c>
      <c r="V7" s="16">
        <v>44</v>
      </c>
      <c r="W7" s="16">
        <v>43</v>
      </c>
      <c r="X7" s="16">
        <v>42</v>
      </c>
      <c r="Y7" s="16">
        <v>44</v>
      </c>
      <c r="Z7" s="16">
        <v>42</v>
      </c>
      <c r="AA7" s="16">
        <v>43</v>
      </c>
      <c r="AB7" s="16">
        <v>42</v>
      </c>
      <c r="AC7" s="16">
        <v>42</v>
      </c>
      <c r="AD7" s="16">
        <v>40</v>
      </c>
      <c r="AE7" s="16">
        <v>39</v>
      </c>
      <c r="AF7" s="16">
        <v>40</v>
      </c>
      <c r="AG7" s="16">
        <v>40</v>
      </c>
      <c r="AH7" s="17">
        <v>14</v>
      </c>
      <c r="AI7" s="17">
        <v>14</v>
      </c>
      <c r="AJ7" s="17">
        <v>15</v>
      </c>
      <c r="AK7" s="17">
        <v>16</v>
      </c>
      <c r="AL7" s="17">
        <v>15</v>
      </c>
      <c r="AM7" s="17">
        <v>16</v>
      </c>
      <c r="AN7" s="17">
        <v>16</v>
      </c>
      <c r="AO7" s="17">
        <v>17</v>
      </c>
      <c r="AP7" s="17">
        <v>16</v>
      </c>
      <c r="AQ7" s="17">
        <v>17</v>
      </c>
      <c r="AR7" s="17">
        <v>17</v>
      </c>
      <c r="AS7" s="17">
        <v>17</v>
      </c>
      <c r="AT7" s="18">
        <f t="shared" si="0"/>
        <v>3.2972648528592563</v>
      </c>
      <c r="AU7" s="18">
        <f t="shared" si="1"/>
        <v>2.8484076897574759</v>
      </c>
      <c r="AV7" s="18">
        <f t="shared" si="2"/>
        <v>2.7039822396265967</v>
      </c>
      <c r="AW7" s="18">
        <f t="shared" si="3"/>
        <v>2.8461527156540263</v>
      </c>
      <c r="AX7" s="18">
        <f t="shared" si="4"/>
        <v>2.5300351313449667</v>
      </c>
      <c r="AY7" s="18">
        <f t="shared" si="5"/>
        <v>2.5245778811844879</v>
      </c>
      <c r="AZ7" s="18">
        <f t="shared" si="6"/>
        <v>2.3584346247312733</v>
      </c>
      <c r="BA7" s="18">
        <f t="shared" si="7"/>
        <v>2.3006445485767295</v>
      </c>
      <c r="BB7" s="18">
        <f t="shared" si="8"/>
        <v>2.0234149578927347</v>
      </c>
      <c r="BC7" s="18">
        <f t="shared" si="9"/>
        <v>1.8774484816583104</v>
      </c>
      <c r="BD7" s="18">
        <f t="shared" si="10"/>
        <v>2.0433009805229281</v>
      </c>
      <c r="BE7" s="18">
        <f t="shared" si="11"/>
        <v>2.0722220785481582</v>
      </c>
      <c r="BF7" s="18">
        <f t="shared" si="12"/>
        <v>2.1204410517387617</v>
      </c>
      <c r="BG7" s="18">
        <f t="shared" si="13"/>
        <v>1.9936204146730463</v>
      </c>
      <c r="BH7" s="18">
        <f t="shared" si="14"/>
        <v>1.9654088050314464</v>
      </c>
      <c r="BI7" s="18">
        <f t="shared" si="15"/>
        <v>1.9700551615445234</v>
      </c>
      <c r="BJ7" s="18">
        <f t="shared" si="16"/>
        <v>1.9011406844106464</v>
      </c>
      <c r="BK7" s="18">
        <f t="shared" si="17"/>
        <v>1.8768768768768769</v>
      </c>
      <c r="BL7" s="18">
        <f t="shared" si="18"/>
        <v>1.8355359765051396</v>
      </c>
      <c r="BM7" s="18">
        <f t="shared" si="19"/>
        <v>1.8129079042784628</v>
      </c>
      <c r="BN7" s="18">
        <f t="shared" si="20"/>
        <v>1.7421602787456447</v>
      </c>
      <c r="BO7" s="18">
        <f t="shared" si="21"/>
        <v>1.699524133242692</v>
      </c>
      <c r="BP7" s="18">
        <f t="shared" si="22"/>
        <v>1.7507002801120448</v>
      </c>
      <c r="BQ7" s="18">
        <f t="shared" si="23"/>
        <v>1.7630465444287731</v>
      </c>
      <c r="BR7" s="7">
        <f t="shared" si="24"/>
        <v>161.14000000000001</v>
      </c>
      <c r="BS7" s="7">
        <f t="shared" si="25"/>
        <v>2.1204410517387617</v>
      </c>
      <c r="BT7" s="9">
        <f t="shared" si="26"/>
        <v>0.18857536132140404</v>
      </c>
      <c r="BU7" s="7">
        <f t="shared" si="27"/>
        <v>1.7205781142463867</v>
      </c>
      <c r="BV7" s="7">
        <f t="shared" si="28"/>
        <v>25.11168486556841</v>
      </c>
      <c r="BW7" s="8">
        <f t="shared" si="29"/>
        <v>7.4283806964432568E-4</v>
      </c>
      <c r="BX7" s="8">
        <f t="shared" si="30"/>
        <v>7.8229754096681783E-4</v>
      </c>
    </row>
    <row r="8" spans="1:76" x14ac:dyDescent="0.2">
      <c r="A8" s="12">
        <v>37766</v>
      </c>
      <c r="B8" s="13" t="s">
        <v>84</v>
      </c>
      <c r="C8" s="19">
        <v>44946</v>
      </c>
      <c r="D8" s="13" t="s">
        <v>76</v>
      </c>
      <c r="E8" s="14">
        <f t="shared" si="31"/>
        <v>19.657768651608489</v>
      </c>
      <c r="F8" s="13" t="s">
        <v>71</v>
      </c>
      <c r="G8" s="13" t="s">
        <v>77</v>
      </c>
      <c r="H8" s="13" t="s">
        <v>72</v>
      </c>
      <c r="I8" s="13">
        <v>51.28</v>
      </c>
      <c r="J8" s="15">
        <v>11.92</v>
      </c>
      <c r="K8" s="15">
        <v>12.53</v>
      </c>
      <c r="L8" s="15">
        <v>12.92</v>
      </c>
      <c r="M8" s="15">
        <v>13.37</v>
      </c>
      <c r="N8" s="15">
        <v>13.88</v>
      </c>
      <c r="O8" s="15">
        <v>14.09</v>
      </c>
      <c r="P8" s="15">
        <v>14.26</v>
      </c>
      <c r="Q8" s="15">
        <v>14.31</v>
      </c>
      <c r="R8" s="15">
        <v>14.4</v>
      </c>
      <c r="S8" s="15">
        <v>14.55</v>
      </c>
      <c r="T8" s="15">
        <v>14.66</v>
      </c>
      <c r="U8" s="15">
        <v>14.36</v>
      </c>
      <c r="V8" s="16">
        <v>46.7</v>
      </c>
      <c r="W8" s="16">
        <v>43.8</v>
      </c>
      <c r="X8" s="16">
        <v>43.7</v>
      </c>
      <c r="Y8" s="16">
        <v>42.7</v>
      </c>
      <c r="Z8" s="16">
        <v>41.6</v>
      </c>
      <c r="AA8" s="16">
        <v>40.5</v>
      </c>
      <c r="AB8" s="16">
        <v>39.6</v>
      </c>
      <c r="AC8" s="16">
        <v>40</v>
      </c>
      <c r="AD8" s="16">
        <v>39.700000000000003</v>
      </c>
      <c r="AE8" s="16">
        <v>39.5</v>
      </c>
      <c r="AF8" s="16">
        <v>38.700000000000003</v>
      </c>
      <c r="AG8" s="16">
        <v>40</v>
      </c>
      <c r="AH8" s="17">
        <v>15</v>
      </c>
      <c r="AI8" s="17">
        <v>15</v>
      </c>
      <c r="AJ8" s="17">
        <v>16</v>
      </c>
      <c r="AK8" s="17">
        <v>15</v>
      </c>
      <c r="AL8" s="17">
        <v>16</v>
      </c>
      <c r="AM8" s="17">
        <v>16</v>
      </c>
      <c r="AN8" s="17">
        <v>16</v>
      </c>
      <c r="AO8" s="17">
        <v>16</v>
      </c>
      <c r="AP8" s="17">
        <v>15</v>
      </c>
      <c r="AQ8" s="17">
        <v>16</v>
      </c>
      <c r="AR8" s="17">
        <v>15</v>
      </c>
      <c r="AS8" s="17">
        <v>16</v>
      </c>
      <c r="AT8" s="18">
        <f t="shared" si="0"/>
        <v>3.4236797704307622</v>
      </c>
      <c r="AU8" s="18">
        <f t="shared" si="1"/>
        <v>2.9060342966186825</v>
      </c>
      <c r="AV8" s="18">
        <f t="shared" si="2"/>
        <v>2.7270002428215867</v>
      </c>
      <c r="AW8" s="18">
        <f t="shared" si="3"/>
        <v>2.4882489384558957</v>
      </c>
      <c r="AX8" s="18">
        <f t="shared" si="4"/>
        <v>2.2492781547337266</v>
      </c>
      <c r="AY8" s="18">
        <f t="shared" si="5"/>
        <v>2.1250140408335145</v>
      </c>
      <c r="AZ8" s="18">
        <f t="shared" si="6"/>
        <v>2.0285461938080411</v>
      </c>
      <c r="BA8" s="18">
        <f t="shared" si="7"/>
        <v>2.0347426612122539</v>
      </c>
      <c r="BB8" s="18">
        <f t="shared" si="8"/>
        <v>1.9943174511316875</v>
      </c>
      <c r="BC8" s="18">
        <f t="shared" si="9"/>
        <v>1.9435686084639214</v>
      </c>
      <c r="BD8" s="18">
        <f t="shared" si="10"/>
        <v>1.875736335566148</v>
      </c>
      <c r="BE8" s="18">
        <f t="shared" si="11"/>
        <v>2.0205978124523138</v>
      </c>
      <c r="BF8" s="18">
        <f t="shared" si="12"/>
        <v>2.0973154362416109</v>
      </c>
      <c r="BG8" s="18">
        <f t="shared" si="13"/>
        <v>1.9952114924181965</v>
      </c>
      <c r="BH8" s="18">
        <f t="shared" si="14"/>
        <v>1.9349845201238389</v>
      </c>
      <c r="BI8" s="18">
        <f t="shared" si="15"/>
        <v>1.8698578908002992</v>
      </c>
      <c r="BJ8" s="18">
        <f t="shared" si="16"/>
        <v>1.8011527377521612</v>
      </c>
      <c r="BK8" s="18">
        <f t="shared" si="17"/>
        <v>1.7743080198722498</v>
      </c>
      <c r="BL8" s="18">
        <f t="shared" si="18"/>
        <v>1.7531556802244039</v>
      </c>
      <c r="BM8" s="18">
        <f t="shared" si="19"/>
        <v>1.7470300489168413</v>
      </c>
      <c r="BN8" s="18">
        <f t="shared" si="20"/>
        <v>1.7361111111111112</v>
      </c>
      <c r="BO8" s="18">
        <f t="shared" si="21"/>
        <v>1.7182130584192439</v>
      </c>
      <c r="BP8" s="18">
        <f t="shared" si="22"/>
        <v>1.7053206002728514</v>
      </c>
      <c r="BQ8" s="18">
        <f t="shared" si="23"/>
        <v>1.7409470752089138</v>
      </c>
      <c r="BR8" s="7">
        <f t="shared" si="24"/>
        <v>165.25</v>
      </c>
      <c r="BS8" s="7">
        <f t="shared" si="25"/>
        <v>2.0973154362416109</v>
      </c>
      <c r="BT8" s="9">
        <f t="shared" si="26"/>
        <v>0.18384115029099626</v>
      </c>
      <c r="BU8" s="7">
        <f t="shared" si="27"/>
        <v>1.7117425539198905</v>
      </c>
      <c r="BV8" s="7">
        <f t="shared" si="28"/>
        <v>19.506770117860725</v>
      </c>
      <c r="BW8" s="8">
        <f t="shared" si="29"/>
        <v>7.4644366231663519E-4</v>
      </c>
      <c r="BX8" s="8">
        <f t="shared" si="30"/>
        <v>7.8611813145325977E-4</v>
      </c>
    </row>
    <row r="9" spans="1:76" x14ac:dyDescent="0.2">
      <c r="A9" s="12">
        <v>38613</v>
      </c>
      <c r="B9" s="13" t="s">
        <v>85</v>
      </c>
      <c r="C9" s="19">
        <v>44944</v>
      </c>
      <c r="D9" s="13" t="s">
        <v>76</v>
      </c>
      <c r="E9" s="14">
        <f t="shared" si="31"/>
        <v>17.333333333333332</v>
      </c>
      <c r="F9" s="13" t="s">
        <v>71</v>
      </c>
      <c r="G9" s="13" t="s">
        <v>77</v>
      </c>
      <c r="H9" s="13" t="s">
        <v>72</v>
      </c>
      <c r="I9" s="13">
        <v>54.45000000000001</v>
      </c>
      <c r="J9" s="15">
        <v>12.76</v>
      </c>
      <c r="K9" s="15">
        <v>13.18</v>
      </c>
      <c r="L9" s="15">
        <v>13.95</v>
      </c>
      <c r="M9" s="15">
        <v>14.05</v>
      </c>
      <c r="N9" s="15">
        <v>14.49</v>
      </c>
      <c r="O9" s="15">
        <v>14.32</v>
      </c>
      <c r="P9" s="15">
        <v>14.7</v>
      </c>
      <c r="Q9" s="15">
        <v>14.73</v>
      </c>
      <c r="R9" s="15">
        <v>14.32</v>
      </c>
      <c r="S9" s="15">
        <v>14.38</v>
      </c>
      <c r="T9" s="15">
        <v>14.65</v>
      </c>
      <c r="U9" s="15">
        <v>13.97</v>
      </c>
      <c r="V9" s="16">
        <v>47.3</v>
      </c>
      <c r="W9" s="16">
        <v>43.6</v>
      </c>
      <c r="X9" s="16">
        <v>42.5</v>
      </c>
      <c r="Y9" s="16">
        <v>40</v>
      </c>
      <c r="Z9" s="16">
        <v>39.5</v>
      </c>
      <c r="AA9" s="16">
        <v>40.6</v>
      </c>
      <c r="AB9" s="16">
        <v>40.299999999999997</v>
      </c>
      <c r="AC9" s="16">
        <v>39.200000000000003</v>
      </c>
      <c r="AD9" s="16">
        <v>41</v>
      </c>
      <c r="AE9" s="16">
        <v>40.799999999999997</v>
      </c>
      <c r="AF9" s="16">
        <v>39.9</v>
      </c>
      <c r="AG9" s="16">
        <v>41.7</v>
      </c>
      <c r="AH9" s="17">
        <v>15</v>
      </c>
      <c r="AI9" s="17">
        <v>15</v>
      </c>
      <c r="AJ9" s="17">
        <v>15</v>
      </c>
      <c r="AK9" s="17">
        <v>15</v>
      </c>
      <c r="AL9" s="17">
        <v>15</v>
      </c>
      <c r="AM9" s="17">
        <v>16</v>
      </c>
      <c r="AN9" s="17">
        <v>15</v>
      </c>
      <c r="AO9" s="17">
        <v>16</v>
      </c>
      <c r="AP9" s="17">
        <v>15</v>
      </c>
      <c r="AQ9" s="17">
        <v>16</v>
      </c>
      <c r="AR9" s="17">
        <v>15</v>
      </c>
      <c r="AS9" s="17">
        <v>16</v>
      </c>
      <c r="AT9" s="18">
        <f t="shared" si="0"/>
        <v>3.0261368140381224</v>
      </c>
      <c r="AU9" s="18">
        <f t="shared" si="1"/>
        <v>2.6144746527402001</v>
      </c>
      <c r="AV9" s="18">
        <f t="shared" si="2"/>
        <v>2.2749365158892276</v>
      </c>
      <c r="AW9" s="18">
        <f t="shared" si="3"/>
        <v>2.1107466555219236</v>
      </c>
      <c r="AX9" s="18">
        <f t="shared" si="4"/>
        <v>1.9596977393958821</v>
      </c>
      <c r="AY9" s="18">
        <f t="shared" si="5"/>
        <v>2.0623803616200074</v>
      </c>
      <c r="AZ9" s="18">
        <f t="shared" si="6"/>
        <v>1.9426704922331746</v>
      </c>
      <c r="BA9" s="18">
        <f t="shared" si="7"/>
        <v>1.8819554577245978</v>
      </c>
      <c r="BB9" s="18">
        <f t="shared" si="8"/>
        <v>2.0826993799610913</v>
      </c>
      <c r="BC9" s="18">
        <f t="shared" si="9"/>
        <v>2.0552807658604801</v>
      </c>
      <c r="BD9" s="18">
        <f t="shared" si="10"/>
        <v>1.9365397383778491</v>
      </c>
      <c r="BE9" s="18">
        <f t="shared" si="11"/>
        <v>2.2257275919510517</v>
      </c>
      <c r="BF9" s="18">
        <f t="shared" si="12"/>
        <v>1.9592476489028214</v>
      </c>
      <c r="BG9" s="18">
        <f t="shared" si="13"/>
        <v>1.8968133535660092</v>
      </c>
      <c r="BH9" s="18">
        <f t="shared" si="14"/>
        <v>1.7921146953405018</v>
      </c>
      <c r="BI9" s="18">
        <f t="shared" si="15"/>
        <v>1.779359430604982</v>
      </c>
      <c r="BJ9" s="18">
        <f t="shared" si="16"/>
        <v>1.7253278122843341</v>
      </c>
      <c r="BK9" s="18">
        <f t="shared" si="17"/>
        <v>1.7458100558659218</v>
      </c>
      <c r="BL9" s="18">
        <f t="shared" si="18"/>
        <v>1.7006802721088436</v>
      </c>
      <c r="BM9" s="18">
        <f t="shared" si="19"/>
        <v>1.6972165648336728</v>
      </c>
      <c r="BN9" s="18">
        <f t="shared" si="20"/>
        <v>1.7458100558659218</v>
      </c>
      <c r="BO9" s="18">
        <f t="shared" si="21"/>
        <v>1.7385257301808066</v>
      </c>
      <c r="BP9" s="18">
        <f t="shared" si="22"/>
        <v>1.7064846416382251</v>
      </c>
      <c r="BQ9" s="18">
        <f t="shared" si="23"/>
        <v>1.7895490336435218</v>
      </c>
      <c r="BR9" s="7">
        <f t="shared" si="24"/>
        <v>169.5</v>
      </c>
      <c r="BS9" s="7">
        <f t="shared" si="25"/>
        <v>1.9592476489028214</v>
      </c>
      <c r="BT9" s="9">
        <f t="shared" si="26"/>
        <v>0.12090940406476071</v>
      </c>
      <c r="BU9" s="7">
        <f t="shared" si="27"/>
        <v>1.7223561832586978</v>
      </c>
      <c r="BV9" s="7">
        <f t="shared" si="28"/>
        <v>9.2529092464978291</v>
      </c>
      <c r="BW9" s="8">
        <f t="shared" si="29"/>
        <v>7.4211668591824204E-4</v>
      </c>
      <c r="BX9" s="8">
        <f t="shared" si="30"/>
        <v>7.8153316925120826E-4</v>
      </c>
    </row>
    <row r="10" spans="1:76" x14ac:dyDescent="0.2">
      <c r="A10" s="12">
        <v>37349</v>
      </c>
      <c r="B10" s="13" t="s">
        <v>86</v>
      </c>
      <c r="C10" s="19">
        <v>44946</v>
      </c>
      <c r="D10" s="13" t="s">
        <v>76</v>
      </c>
      <c r="E10" s="14">
        <f t="shared" si="31"/>
        <v>20.799452429842574</v>
      </c>
      <c r="F10" s="13" t="s">
        <v>71</v>
      </c>
      <c r="G10" s="13" t="s">
        <v>77</v>
      </c>
      <c r="H10" s="13" t="s">
        <v>74</v>
      </c>
      <c r="I10" s="13">
        <v>62.300000000000004</v>
      </c>
      <c r="J10" s="15">
        <v>14.77</v>
      </c>
      <c r="K10" s="15">
        <v>15.23</v>
      </c>
      <c r="L10" s="15">
        <v>15.56</v>
      </c>
      <c r="M10" s="15">
        <v>15.72</v>
      </c>
      <c r="N10" s="15">
        <v>15.92</v>
      </c>
      <c r="O10" s="15">
        <v>16</v>
      </c>
      <c r="P10" s="15">
        <v>16.28</v>
      </c>
      <c r="Q10" s="15">
        <v>16.2</v>
      </c>
      <c r="R10" s="15">
        <v>16.45</v>
      </c>
      <c r="S10" s="15">
        <v>16.13</v>
      </c>
      <c r="T10" s="15">
        <v>16.61</v>
      </c>
      <c r="U10" s="15">
        <v>16.39</v>
      </c>
      <c r="V10" s="16">
        <v>38.700000000000003</v>
      </c>
      <c r="W10" s="16">
        <v>30.6</v>
      </c>
      <c r="X10" s="16">
        <v>29.3</v>
      </c>
      <c r="Y10" s="16">
        <v>28.3</v>
      </c>
      <c r="Z10" s="16">
        <v>28.2</v>
      </c>
      <c r="AA10" s="16">
        <v>28.4</v>
      </c>
      <c r="AB10" s="16">
        <v>27.4</v>
      </c>
      <c r="AC10" s="16">
        <v>26.7</v>
      </c>
      <c r="AD10" s="16">
        <v>26.8</v>
      </c>
      <c r="AE10" s="16">
        <v>27.4</v>
      </c>
      <c r="AF10" s="16">
        <v>27.2</v>
      </c>
      <c r="AG10" s="16">
        <v>29.6</v>
      </c>
      <c r="AH10" s="17">
        <v>9</v>
      </c>
      <c r="AI10" s="17">
        <v>9</v>
      </c>
      <c r="AJ10" s="17">
        <v>8</v>
      </c>
      <c r="AK10" s="17">
        <v>8</v>
      </c>
      <c r="AL10" s="17">
        <v>8</v>
      </c>
      <c r="AM10" s="17">
        <v>8</v>
      </c>
      <c r="AN10" s="17">
        <v>8</v>
      </c>
      <c r="AO10" s="17">
        <v>8</v>
      </c>
      <c r="AP10" s="17">
        <v>8</v>
      </c>
      <c r="AQ10" s="17">
        <v>8</v>
      </c>
      <c r="AR10" s="17">
        <v>8</v>
      </c>
      <c r="AS10" s="17">
        <v>9</v>
      </c>
      <c r="AT10" s="18">
        <f t="shared" si="0"/>
        <v>1.8479011739014244</v>
      </c>
      <c r="AU10" s="18">
        <f t="shared" si="1"/>
        <v>1.3742014003705061</v>
      </c>
      <c r="AV10" s="18">
        <f t="shared" si="2"/>
        <v>1.2605997074651458</v>
      </c>
      <c r="AW10" s="18">
        <f t="shared" si="3"/>
        <v>1.1929167017375746</v>
      </c>
      <c r="AX10" s="18">
        <f t="shared" si="4"/>
        <v>1.1590221837832377</v>
      </c>
      <c r="AY10" s="18">
        <f t="shared" si="5"/>
        <v>1.1555989583333333</v>
      </c>
      <c r="AZ10" s="18">
        <f t="shared" si="6"/>
        <v>1.0768879779936289</v>
      </c>
      <c r="BA10" s="18">
        <f t="shared" si="7"/>
        <v>1.0597660417619266</v>
      </c>
      <c r="BB10" s="18">
        <f t="shared" si="8"/>
        <v>1.0316485127323904</v>
      </c>
      <c r="BC10" s="18">
        <f t="shared" si="9"/>
        <v>1.0970100215148488</v>
      </c>
      <c r="BD10" s="18">
        <f t="shared" si="10"/>
        <v>1.0269715346446431</v>
      </c>
      <c r="BE10" s="18">
        <f t="shared" si="11"/>
        <v>1.1477903546647377</v>
      </c>
      <c r="BF10" s="18">
        <f t="shared" si="12"/>
        <v>1.6926201760324984</v>
      </c>
      <c r="BG10" s="18">
        <f t="shared" si="13"/>
        <v>1.6414970453053184</v>
      </c>
      <c r="BH10" s="18">
        <f t="shared" si="14"/>
        <v>1.6066838046272494</v>
      </c>
      <c r="BI10" s="18">
        <f t="shared" si="15"/>
        <v>1.5903307888040712</v>
      </c>
      <c r="BJ10" s="18">
        <f t="shared" si="16"/>
        <v>1.5703517587939699</v>
      </c>
      <c r="BK10" s="18">
        <f t="shared" si="17"/>
        <v>1.5625</v>
      </c>
      <c r="BL10" s="18">
        <f t="shared" si="18"/>
        <v>1.5356265356265355</v>
      </c>
      <c r="BM10" s="18">
        <f t="shared" si="19"/>
        <v>1.5432098765432098</v>
      </c>
      <c r="BN10" s="18">
        <f t="shared" si="20"/>
        <v>1.5197568389057752</v>
      </c>
      <c r="BO10" s="18">
        <f t="shared" si="21"/>
        <v>1.5499070055796653</v>
      </c>
      <c r="BP10" s="18">
        <f t="shared" si="22"/>
        <v>1.5051173991571343</v>
      </c>
      <c r="BQ10" s="18">
        <f t="shared" si="23"/>
        <v>1.5253203172666259</v>
      </c>
      <c r="BR10" s="7">
        <f t="shared" si="24"/>
        <v>191.26</v>
      </c>
      <c r="BS10" s="7">
        <f t="shared" si="25"/>
        <v>1.6926201760324984</v>
      </c>
      <c r="BT10" s="9">
        <f t="shared" si="26"/>
        <v>0.10647307924984889</v>
      </c>
      <c r="BU10" s="7">
        <f t="shared" si="27"/>
        <v>1.512401693889897</v>
      </c>
      <c r="BV10" s="7">
        <f t="shared" si="28"/>
        <v>12.062063379533251</v>
      </c>
      <c r="BW10" s="8">
        <f t="shared" si="29"/>
        <v>8.3823709641241823E-4</v>
      </c>
      <c r="BX10" s="8">
        <f t="shared" si="30"/>
        <v>8.8346200718821054E-4</v>
      </c>
    </row>
    <row r="11" spans="1:76" x14ac:dyDescent="0.2">
      <c r="A11" s="12">
        <v>37766</v>
      </c>
      <c r="B11" s="13" t="s">
        <v>84</v>
      </c>
      <c r="C11" s="19">
        <v>44730</v>
      </c>
      <c r="D11" s="13" t="s">
        <v>76</v>
      </c>
      <c r="E11" s="14">
        <f t="shared" si="31"/>
        <v>19.066392881587955</v>
      </c>
      <c r="F11" s="13" t="s">
        <v>71</v>
      </c>
      <c r="G11" s="13" t="s">
        <v>77</v>
      </c>
      <c r="H11" s="13" t="s">
        <v>72</v>
      </c>
      <c r="I11" s="13">
        <v>51.28</v>
      </c>
      <c r="J11" s="15">
        <v>12.34</v>
      </c>
      <c r="K11" s="15">
        <v>12.9</v>
      </c>
      <c r="L11" s="15">
        <v>13.25</v>
      </c>
      <c r="M11" s="15">
        <v>13.54</v>
      </c>
      <c r="N11" s="15">
        <v>13.93</v>
      </c>
      <c r="O11" s="15">
        <v>14.97</v>
      </c>
      <c r="P11" s="15">
        <v>14.43</v>
      </c>
      <c r="Q11" s="15">
        <v>14.2</v>
      </c>
      <c r="R11" s="15">
        <v>14.26</v>
      </c>
      <c r="S11" s="15">
        <v>14.3</v>
      </c>
      <c r="T11" s="15">
        <v>14.39</v>
      </c>
      <c r="U11" s="15">
        <v>14.19</v>
      </c>
      <c r="V11" s="16">
        <v>43</v>
      </c>
      <c r="W11" s="16">
        <v>40</v>
      </c>
      <c r="X11" s="16">
        <v>38</v>
      </c>
      <c r="Y11" s="16">
        <v>38</v>
      </c>
      <c r="Z11" s="16">
        <v>39</v>
      </c>
      <c r="AA11" s="16">
        <v>38</v>
      </c>
      <c r="AB11" s="16">
        <v>37</v>
      </c>
      <c r="AC11" s="16">
        <v>38.299999999999997</v>
      </c>
      <c r="AD11" s="16">
        <v>37</v>
      </c>
      <c r="AE11" s="16">
        <v>38</v>
      </c>
      <c r="AF11" s="16">
        <v>37</v>
      </c>
      <c r="AG11" s="16">
        <v>38</v>
      </c>
      <c r="AH11" s="17">
        <v>15</v>
      </c>
      <c r="AI11" s="17">
        <v>15</v>
      </c>
      <c r="AJ11" s="17">
        <v>14</v>
      </c>
      <c r="AK11" s="17">
        <v>15</v>
      </c>
      <c r="AL11" s="17">
        <v>15</v>
      </c>
      <c r="AM11" s="17">
        <v>15</v>
      </c>
      <c r="AN11" s="17">
        <v>14</v>
      </c>
      <c r="AO11" s="17">
        <v>15</v>
      </c>
      <c r="AP11" s="17">
        <v>15</v>
      </c>
      <c r="AQ11" s="17">
        <v>15</v>
      </c>
      <c r="AR11" s="17">
        <v>15</v>
      </c>
      <c r="AS11" s="17">
        <v>15</v>
      </c>
      <c r="AT11" s="18">
        <f t="shared" si="0"/>
        <v>2.941486795433192</v>
      </c>
      <c r="AU11" s="18">
        <f t="shared" si="1"/>
        <v>2.5038559381447425</v>
      </c>
      <c r="AV11" s="18">
        <f t="shared" si="2"/>
        <v>2.2546576480360745</v>
      </c>
      <c r="AW11" s="18">
        <f t="shared" si="3"/>
        <v>2.1591113225070493</v>
      </c>
      <c r="AX11" s="18">
        <f t="shared" si="4"/>
        <v>2.0935876181234345</v>
      </c>
      <c r="AY11" s="18">
        <f t="shared" si="5"/>
        <v>1.7663174638447827</v>
      </c>
      <c r="AZ11" s="18">
        <f t="shared" si="6"/>
        <v>1.8509633894249278</v>
      </c>
      <c r="BA11" s="18">
        <f t="shared" si="7"/>
        <v>1.9785674138729088</v>
      </c>
      <c r="BB11" s="18">
        <f t="shared" si="8"/>
        <v>1.8953588174469072</v>
      </c>
      <c r="BC11" s="18">
        <f t="shared" si="9"/>
        <v>1.9357099776680193</v>
      </c>
      <c r="BD11" s="18">
        <f t="shared" si="10"/>
        <v>1.8612679673730392</v>
      </c>
      <c r="BE11" s="18">
        <f t="shared" si="11"/>
        <v>1.9658373068078561</v>
      </c>
      <c r="BF11" s="18">
        <f t="shared" si="12"/>
        <v>2.025931928687196</v>
      </c>
      <c r="BG11" s="18">
        <f t="shared" si="13"/>
        <v>1.9379844961240309</v>
      </c>
      <c r="BH11" s="18">
        <f t="shared" si="14"/>
        <v>1.8867924528301887</v>
      </c>
      <c r="BI11" s="18">
        <f t="shared" si="15"/>
        <v>1.8463810930576072</v>
      </c>
      <c r="BJ11" s="18">
        <f t="shared" si="16"/>
        <v>1.7946877243359656</v>
      </c>
      <c r="BK11" s="18">
        <f t="shared" si="17"/>
        <v>1.6700066800267199</v>
      </c>
      <c r="BL11" s="18">
        <f t="shared" si="18"/>
        <v>1.7325017325017324</v>
      </c>
      <c r="BM11" s="18">
        <f t="shared" si="19"/>
        <v>1.7605633802816902</v>
      </c>
      <c r="BN11" s="18">
        <f t="shared" si="20"/>
        <v>1.7531556802244039</v>
      </c>
      <c r="BO11" s="18">
        <f t="shared" si="21"/>
        <v>1.7482517482517481</v>
      </c>
      <c r="BP11" s="18">
        <f t="shared" si="22"/>
        <v>1.7373175816539264</v>
      </c>
      <c r="BQ11" s="18">
        <f t="shared" si="23"/>
        <v>1.7618040873854828</v>
      </c>
      <c r="BR11" s="7">
        <f t="shared" si="24"/>
        <v>166.70000000000005</v>
      </c>
      <c r="BS11" s="7">
        <f t="shared" si="25"/>
        <v>2.025931928687196</v>
      </c>
      <c r="BT11" s="9">
        <f t="shared" si="26"/>
        <v>0.1397699546880446</v>
      </c>
      <c r="BU11" s="7">
        <f t="shared" si="27"/>
        <v>1.7427675148135238</v>
      </c>
      <c r="BV11" s="7">
        <f t="shared" si="28"/>
        <v>11.296610425574979</v>
      </c>
      <c r="BW11" s="8">
        <f t="shared" si="29"/>
        <v>7.3393481913871161E-4</v>
      </c>
      <c r="BX11" s="8">
        <f t="shared" si="30"/>
        <v>7.7286437577127711E-4</v>
      </c>
    </row>
    <row r="12" spans="1:76" x14ac:dyDescent="0.2">
      <c r="A12" s="12">
        <v>37766</v>
      </c>
      <c r="B12" s="13" t="s">
        <v>84</v>
      </c>
      <c r="C12" s="19">
        <v>44527</v>
      </c>
      <c r="D12" s="13" t="s">
        <v>76</v>
      </c>
      <c r="E12" s="14">
        <f t="shared" si="31"/>
        <v>18.510609171800137</v>
      </c>
      <c r="F12" s="13" t="s">
        <v>71</v>
      </c>
      <c r="G12" s="13" t="s">
        <v>77</v>
      </c>
      <c r="H12" s="13" t="s">
        <v>72</v>
      </c>
      <c r="I12" s="13">
        <v>51.68</v>
      </c>
      <c r="J12" s="15">
        <v>12.6</v>
      </c>
      <c r="K12" s="15">
        <v>13.36</v>
      </c>
      <c r="L12" s="15">
        <v>13.49</v>
      </c>
      <c r="M12" s="15">
        <v>14.09</v>
      </c>
      <c r="N12" s="15">
        <v>14.03</v>
      </c>
      <c r="O12" s="15">
        <v>14.77</v>
      </c>
      <c r="P12" s="15">
        <v>14.4</v>
      </c>
      <c r="Q12" s="15">
        <v>15.26</v>
      </c>
      <c r="R12" s="15">
        <v>14.84</v>
      </c>
      <c r="S12" s="15">
        <v>15.1</v>
      </c>
      <c r="T12" s="15">
        <v>14.28</v>
      </c>
      <c r="U12" s="15">
        <v>14.61</v>
      </c>
      <c r="V12" s="16">
        <v>44.7</v>
      </c>
      <c r="W12" s="16">
        <v>44.5</v>
      </c>
      <c r="X12" s="16">
        <v>43.6</v>
      </c>
      <c r="Y12" s="16">
        <v>40.200000000000003</v>
      </c>
      <c r="Z12" s="16">
        <v>40.5</v>
      </c>
      <c r="AA12" s="16">
        <v>38.9</v>
      </c>
      <c r="AB12" s="16">
        <v>39.4</v>
      </c>
      <c r="AC12" s="16">
        <v>37.6</v>
      </c>
      <c r="AD12" s="16">
        <v>36.9</v>
      </c>
      <c r="AE12" s="16">
        <v>38.1</v>
      </c>
      <c r="AF12" s="16">
        <v>38.799999999999997</v>
      </c>
      <c r="AG12" s="16">
        <v>40.1</v>
      </c>
      <c r="AH12" s="17">
        <v>14</v>
      </c>
      <c r="AI12" s="17">
        <v>15</v>
      </c>
      <c r="AJ12" s="17">
        <v>15</v>
      </c>
      <c r="AK12" s="17">
        <v>15</v>
      </c>
      <c r="AL12" s="17">
        <v>15</v>
      </c>
      <c r="AM12" s="17">
        <v>15</v>
      </c>
      <c r="AN12" s="17">
        <v>15</v>
      </c>
      <c r="AO12" s="17">
        <v>15</v>
      </c>
      <c r="AP12" s="17">
        <v>15</v>
      </c>
      <c r="AQ12" s="17">
        <v>15</v>
      </c>
      <c r="AR12" s="17">
        <v>15</v>
      </c>
      <c r="AS12" s="17">
        <v>16</v>
      </c>
      <c r="AT12" s="18">
        <f t="shared" si="0"/>
        <v>2.932886117409927</v>
      </c>
      <c r="AU12" s="18">
        <f t="shared" si="1"/>
        <v>2.5970233933330946</v>
      </c>
      <c r="AV12" s="18">
        <f t="shared" si="2"/>
        <v>2.4956941262625234</v>
      </c>
      <c r="AW12" s="18">
        <f t="shared" si="3"/>
        <v>2.1092731960865998</v>
      </c>
      <c r="AX12" s="18">
        <f t="shared" si="4"/>
        <v>2.1432283636175207</v>
      </c>
      <c r="AY12" s="18">
        <f t="shared" si="5"/>
        <v>1.857451050769132</v>
      </c>
      <c r="AZ12" s="18">
        <f t="shared" si="6"/>
        <v>1.9792470421810699</v>
      </c>
      <c r="BA12" s="18">
        <f t="shared" si="7"/>
        <v>1.6819285579731431</v>
      </c>
      <c r="BB12" s="18">
        <f t="shared" si="8"/>
        <v>1.7453692940330277</v>
      </c>
      <c r="BC12" s="18">
        <f t="shared" si="9"/>
        <v>1.740603482303408</v>
      </c>
      <c r="BD12" s="18">
        <f t="shared" si="10"/>
        <v>1.98200195110724</v>
      </c>
      <c r="BE12" s="18">
        <f t="shared" si="11"/>
        <v>1.9569183593571267</v>
      </c>
      <c r="BF12" s="18">
        <f t="shared" si="12"/>
        <v>1.9841269841269842</v>
      </c>
      <c r="BG12" s="18">
        <f t="shared" si="13"/>
        <v>1.8712574850299402</v>
      </c>
      <c r="BH12" s="18">
        <f t="shared" si="14"/>
        <v>1.8532246108228316</v>
      </c>
      <c r="BI12" s="18">
        <f t="shared" si="15"/>
        <v>1.7743080198722498</v>
      </c>
      <c r="BJ12" s="18">
        <f t="shared" si="16"/>
        <v>1.7818959372772631</v>
      </c>
      <c r="BK12" s="18">
        <f t="shared" si="17"/>
        <v>1.6926201760324984</v>
      </c>
      <c r="BL12" s="18">
        <f t="shared" si="18"/>
        <v>1.7361111111111112</v>
      </c>
      <c r="BM12" s="18">
        <f t="shared" si="19"/>
        <v>1.6382699868938402</v>
      </c>
      <c r="BN12" s="18">
        <f t="shared" si="20"/>
        <v>1.6846361185983827</v>
      </c>
      <c r="BO12" s="18">
        <f t="shared" si="21"/>
        <v>1.6556291390728477</v>
      </c>
      <c r="BP12" s="18">
        <f t="shared" si="22"/>
        <v>1.7507002801120448</v>
      </c>
      <c r="BQ12" s="18">
        <f t="shared" si="23"/>
        <v>1.7111567419575633</v>
      </c>
      <c r="BR12" s="7">
        <f t="shared" si="24"/>
        <v>170.83000000000004</v>
      </c>
      <c r="BS12" s="7">
        <f t="shared" si="25"/>
        <v>1.9841269841269842</v>
      </c>
      <c r="BT12" s="9">
        <f t="shared" si="26"/>
        <v>0.15831663326653306</v>
      </c>
      <c r="BU12" s="7">
        <f t="shared" si="27"/>
        <v>1.6700066800267201</v>
      </c>
      <c r="BV12" s="7">
        <f t="shared" si="28"/>
        <v>16.668815123554339</v>
      </c>
      <c r="BW12" s="8">
        <f t="shared" si="29"/>
        <v>7.6395939055208507E-4</v>
      </c>
      <c r="BX12" s="8">
        <f t="shared" si="30"/>
        <v>8.0468155117574764E-4</v>
      </c>
    </row>
    <row r="13" spans="1:76" x14ac:dyDescent="0.2">
      <c r="A13" s="12">
        <v>37319</v>
      </c>
      <c r="B13" s="13" t="s">
        <v>86</v>
      </c>
      <c r="C13" s="19">
        <v>44527</v>
      </c>
      <c r="D13" s="13" t="s">
        <v>76</v>
      </c>
      <c r="E13" s="14">
        <f t="shared" si="31"/>
        <v>19.734428473648187</v>
      </c>
      <c r="F13" s="13" t="s">
        <v>71</v>
      </c>
      <c r="G13" s="13" t="s">
        <v>77</v>
      </c>
      <c r="H13" s="13" t="s">
        <v>74</v>
      </c>
      <c r="I13" s="13">
        <v>64.02</v>
      </c>
      <c r="J13" s="15">
        <v>14.7</v>
      </c>
      <c r="K13" s="15">
        <v>15.6</v>
      </c>
      <c r="L13" s="15">
        <v>15.9</v>
      </c>
      <c r="M13" s="15">
        <v>16.5</v>
      </c>
      <c r="N13" s="15">
        <v>16.8</v>
      </c>
      <c r="O13" s="15">
        <v>16.7</v>
      </c>
      <c r="P13" s="15">
        <v>16.2</v>
      </c>
      <c r="Q13" s="15">
        <v>17</v>
      </c>
      <c r="R13" s="15">
        <v>16.899999999999999</v>
      </c>
      <c r="S13" s="15">
        <v>16.600000000000001</v>
      </c>
      <c r="T13" s="15">
        <v>17.100000000000001</v>
      </c>
      <c r="U13" s="15">
        <v>16.7</v>
      </c>
      <c r="V13" s="16">
        <v>41.8</v>
      </c>
      <c r="W13" s="16">
        <v>38</v>
      </c>
      <c r="X13" s="16">
        <v>35.9</v>
      </c>
      <c r="Y13" s="16">
        <v>35.6</v>
      </c>
      <c r="Z13" s="16">
        <v>32.799999999999997</v>
      </c>
      <c r="AA13" s="16">
        <v>34.6</v>
      </c>
      <c r="AB13" s="16">
        <v>34.1</v>
      </c>
      <c r="AC13" s="16">
        <v>33.700000000000003</v>
      </c>
      <c r="AD13" s="16">
        <v>34</v>
      </c>
      <c r="AE13" s="16">
        <v>35.1</v>
      </c>
      <c r="AF13" s="16">
        <v>34.1</v>
      </c>
      <c r="AG13" s="16">
        <v>37.4</v>
      </c>
      <c r="AH13" s="17">
        <v>7</v>
      </c>
      <c r="AI13" s="17">
        <v>8</v>
      </c>
      <c r="AJ13" s="17">
        <v>7</v>
      </c>
      <c r="AK13" s="17">
        <v>8</v>
      </c>
      <c r="AL13" s="17">
        <v>7</v>
      </c>
      <c r="AM13" s="17">
        <v>8</v>
      </c>
      <c r="AN13" s="17">
        <v>7</v>
      </c>
      <c r="AO13" s="17">
        <v>8</v>
      </c>
      <c r="AP13" s="17">
        <v>8</v>
      </c>
      <c r="AQ13" s="17">
        <v>8</v>
      </c>
      <c r="AR13" s="17">
        <v>8</v>
      </c>
      <c r="AS13" s="17">
        <v>8</v>
      </c>
      <c r="AT13" s="18">
        <f t="shared" si="0"/>
        <v>2.0149783269316797</v>
      </c>
      <c r="AU13" s="18">
        <f t="shared" si="1"/>
        <v>1.6265340784571556</v>
      </c>
      <c r="AV13" s="18">
        <f t="shared" si="2"/>
        <v>1.4792070461347779</v>
      </c>
      <c r="AW13" s="18">
        <f t="shared" si="3"/>
        <v>1.3621059075604529</v>
      </c>
      <c r="AX13" s="18">
        <f t="shared" si="4"/>
        <v>1.2105536659108087</v>
      </c>
      <c r="AY13" s="18">
        <f t="shared" si="5"/>
        <v>1.2923255285835513</v>
      </c>
      <c r="AZ13" s="18">
        <f t="shared" si="6"/>
        <v>1.3534839709393893</v>
      </c>
      <c r="BA13" s="18">
        <f t="shared" si="7"/>
        <v>1.2146770472895045</v>
      </c>
      <c r="BB13" s="18">
        <f t="shared" si="8"/>
        <v>1.2400359464537891</v>
      </c>
      <c r="BC13" s="18">
        <f t="shared" si="9"/>
        <v>1.3268435186529248</v>
      </c>
      <c r="BD13" s="18">
        <f t="shared" si="10"/>
        <v>1.2147612370757952</v>
      </c>
      <c r="BE13" s="18">
        <f t="shared" si="11"/>
        <v>1.3969067852319312</v>
      </c>
      <c r="BF13" s="18">
        <f t="shared" si="12"/>
        <v>1.7006802721088436</v>
      </c>
      <c r="BG13" s="18">
        <f t="shared" si="13"/>
        <v>1.6025641025641026</v>
      </c>
      <c r="BH13" s="18">
        <f t="shared" si="14"/>
        <v>1.5723270440251571</v>
      </c>
      <c r="BI13" s="18">
        <f t="shared" si="15"/>
        <v>1.5151515151515151</v>
      </c>
      <c r="BJ13" s="18">
        <f t="shared" si="16"/>
        <v>1.4880952380952381</v>
      </c>
      <c r="BK13" s="18">
        <f t="shared" si="17"/>
        <v>1.4970059880239521</v>
      </c>
      <c r="BL13" s="18">
        <f t="shared" si="18"/>
        <v>1.5432098765432098</v>
      </c>
      <c r="BM13" s="18">
        <f t="shared" si="19"/>
        <v>1.4705882352941178</v>
      </c>
      <c r="BN13" s="18">
        <f t="shared" si="20"/>
        <v>1.4792899408284026</v>
      </c>
      <c r="BO13" s="18">
        <f t="shared" si="21"/>
        <v>1.506024096385542</v>
      </c>
      <c r="BP13" s="18">
        <f t="shared" si="22"/>
        <v>1.4619883040935671</v>
      </c>
      <c r="BQ13" s="18">
        <f t="shared" si="23"/>
        <v>1.4970059880239521</v>
      </c>
      <c r="BR13" s="7">
        <f t="shared" si="24"/>
        <v>196.7</v>
      </c>
      <c r="BS13" s="7">
        <f t="shared" si="25"/>
        <v>1.7006802721088436</v>
      </c>
      <c r="BT13" s="9">
        <f t="shared" si="26"/>
        <v>0.13529411764705881</v>
      </c>
      <c r="BU13" s="7">
        <f t="shared" si="27"/>
        <v>1.4705882352941178</v>
      </c>
      <c r="BV13" s="7">
        <f t="shared" si="28"/>
        <v>12.39726884805615</v>
      </c>
      <c r="BW13" s="8">
        <f t="shared" si="29"/>
        <v>8.6043187606541698E-4</v>
      </c>
      <c r="BX13" s="8">
        <f t="shared" si="30"/>
        <v>9.0702106722594892E-4</v>
      </c>
    </row>
    <row r="14" spans="1:76" x14ac:dyDescent="0.2">
      <c r="A14" s="12">
        <v>38009</v>
      </c>
      <c r="B14" s="13" t="s">
        <v>87</v>
      </c>
      <c r="C14" s="19">
        <v>45481</v>
      </c>
      <c r="D14" s="13" t="s">
        <v>76</v>
      </c>
      <c r="E14" s="14">
        <f>(C14-A14)/365.25</f>
        <v>20.45722108145106</v>
      </c>
      <c r="F14" s="13" t="s">
        <v>71</v>
      </c>
      <c r="G14" s="13" t="s">
        <v>77</v>
      </c>
      <c r="H14" s="13" t="s">
        <v>72</v>
      </c>
      <c r="I14" s="13">
        <v>55.24</v>
      </c>
      <c r="J14" s="15">
        <v>12.73</v>
      </c>
      <c r="K14" s="15">
        <v>13.14</v>
      </c>
      <c r="L14" s="15">
        <v>13.59</v>
      </c>
      <c r="M14" s="15">
        <v>14.09</v>
      </c>
      <c r="N14" s="15">
        <v>14</v>
      </c>
      <c r="O14" s="15">
        <v>14.18</v>
      </c>
      <c r="P14" s="15">
        <v>14.6</v>
      </c>
      <c r="Q14" s="15">
        <v>14.4</v>
      </c>
      <c r="R14" s="15">
        <v>14.3</v>
      </c>
      <c r="S14" s="15">
        <v>14.57</v>
      </c>
      <c r="T14" s="15">
        <v>14.61</v>
      </c>
      <c r="U14" s="15">
        <v>14.56</v>
      </c>
      <c r="V14" s="16">
        <v>48</v>
      </c>
      <c r="W14" s="16">
        <v>48</v>
      </c>
      <c r="X14" s="16">
        <v>44</v>
      </c>
      <c r="Y14" s="16">
        <v>45</v>
      </c>
      <c r="Z14" s="16">
        <v>44</v>
      </c>
      <c r="AA14" s="16">
        <v>45</v>
      </c>
      <c r="AB14" s="16">
        <v>46</v>
      </c>
      <c r="AC14" s="16">
        <v>44.5</v>
      </c>
      <c r="AD14" s="16">
        <v>42.2</v>
      </c>
      <c r="AE14" s="16">
        <v>43</v>
      </c>
      <c r="AF14" s="16">
        <v>42</v>
      </c>
      <c r="AG14" s="16">
        <v>43</v>
      </c>
      <c r="AH14" s="17">
        <v>17</v>
      </c>
      <c r="AI14" s="17">
        <v>17</v>
      </c>
      <c r="AJ14" s="17">
        <v>17</v>
      </c>
      <c r="AK14" s="17">
        <v>18</v>
      </c>
      <c r="AL14" s="17">
        <v>17</v>
      </c>
      <c r="AM14" s="17">
        <v>18</v>
      </c>
      <c r="AN14" s="17">
        <v>18</v>
      </c>
      <c r="AO14" s="17">
        <v>18</v>
      </c>
      <c r="AP14" s="17">
        <v>17</v>
      </c>
      <c r="AQ14" s="17">
        <v>18</v>
      </c>
      <c r="AR14" s="17">
        <v>17</v>
      </c>
      <c r="AS14" s="17">
        <v>18</v>
      </c>
      <c r="AT14" s="18">
        <f t="shared" si="0"/>
        <v>3.0854122326721707</v>
      </c>
      <c r="AU14" s="18">
        <f t="shared" si="1"/>
        <v>2.8958714140424284</v>
      </c>
      <c r="AV14" s="18">
        <f t="shared" si="2"/>
        <v>2.4816614244953157</v>
      </c>
      <c r="AW14" s="18">
        <f t="shared" si="3"/>
        <v>2.3611267120372381</v>
      </c>
      <c r="AX14" s="18">
        <f t="shared" si="4"/>
        <v>2.3384353741496597</v>
      </c>
      <c r="AY14" s="18">
        <f t="shared" si="5"/>
        <v>2.3312498383666784</v>
      </c>
      <c r="AZ14" s="18">
        <f t="shared" si="6"/>
        <v>2.2479201851504347</v>
      </c>
      <c r="BA14" s="18">
        <f t="shared" si="7"/>
        <v>2.2354439943415638</v>
      </c>
      <c r="BB14" s="18">
        <f t="shared" si="8"/>
        <v>2.1496568699365901</v>
      </c>
      <c r="BC14" s="18">
        <f t="shared" si="9"/>
        <v>2.1099789324001219</v>
      </c>
      <c r="BD14" s="18">
        <f t="shared" si="10"/>
        <v>2.0496401768827757</v>
      </c>
      <c r="BE14" s="18">
        <f t="shared" si="11"/>
        <v>2.1128782504125909</v>
      </c>
      <c r="BF14" s="18">
        <f t="shared" si="12"/>
        <v>1.9638648860958365</v>
      </c>
      <c r="BG14" s="18">
        <f t="shared" si="13"/>
        <v>1.9025875190258752</v>
      </c>
      <c r="BH14" s="18">
        <f t="shared" si="14"/>
        <v>1.8395879323031641</v>
      </c>
      <c r="BI14" s="18">
        <f t="shared" si="15"/>
        <v>1.7743080198722498</v>
      </c>
      <c r="BJ14" s="18">
        <f t="shared" si="16"/>
        <v>1.7857142857142858</v>
      </c>
      <c r="BK14" s="18">
        <f t="shared" si="17"/>
        <v>1.7630465444287731</v>
      </c>
      <c r="BL14" s="18">
        <f t="shared" si="18"/>
        <v>1.7123287671232876</v>
      </c>
      <c r="BM14" s="18">
        <f t="shared" si="19"/>
        <v>1.7361111111111112</v>
      </c>
      <c r="BN14" s="18">
        <f t="shared" si="20"/>
        <v>1.7482517482517481</v>
      </c>
      <c r="BO14" s="18">
        <f t="shared" si="21"/>
        <v>1.7158544955387782</v>
      </c>
      <c r="BP14" s="18">
        <f t="shared" si="22"/>
        <v>1.7111567419575633</v>
      </c>
      <c r="BQ14" s="18">
        <f t="shared" si="23"/>
        <v>1.7170329670329669</v>
      </c>
      <c r="BR14" s="7">
        <f t="shared" si="24"/>
        <v>168.76999999999998</v>
      </c>
      <c r="BS14" s="7">
        <f t="shared" si="25"/>
        <v>1.9638648860958365</v>
      </c>
      <c r="BT14" s="9">
        <f t="shared" si="26"/>
        <v>0.12748457847840985</v>
      </c>
      <c r="BU14" s="7">
        <f t="shared" si="27"/>
        <v>1.7135023989033584</v>
      </c>
      <c r="BV14" s="7">
        <f t="shared" si="28"/>
        <v>12.52339553784447</v>
      </c>
      <c r="BW14" s="8">
        <f t="shared" si="29"/>
        <v>7.4572272052242426E-4</v>
      </c>
      <c r="BX14" s="8">
        <f t="shared" si="30"/>
        <v>7.8535418238809924E-4</v>
      </c>
    </row>
    <row r="15" spans="1:76" x14ac:dyDescent="0.2">
      <c r="A15" s="12">
        <v>38613</v>
      </c>
      <c r="B15" s="13" t="s">
        <v>85</v>
      </c>
      <c r="C15" s="19">
        <v>45481</v>
      </c>
      <c r="D15" s="13" t="s">
        <v>76</v>
      </c>
      <c r="E15" s="14">
        <f t="shared" si="31"/>
        <v>18.803559206023273</v>
      </c>
      <c r="F15" s="13" t="s">
        <v>71</v>
      </c>
      <c r="G15" s="13" t="s">
        <v>77</v>
      </c>
      <c r="H15" s="13" t="s">
        <v>72</v>
      </c>
      <c r="I15" s="13">
        <v>53.78</v>
      </c>
      <c r="J15" s="15">
        <v>12.1</v>
      </c>
      <c r="K15" s="15">
        <v>12.77</v>
      </c>
      <c r="L15" s="15">
        <v>13.6</v>
      </c>
      <c r="M15" s="15">
        <v>14.2</v>
      </c>
      <c r="N15" s="15">
        <v>14</v>
      </c>
      <c r="O15" s="15">
        <v>14.3</v>
      </c>
      <c r="P15" s="15">
        <v>14.2</v>
      </c>
      <c r="Q15" s="15">
        <v>14.5</v>
      </c>
      <c r="R15" s="15">
        <v>14.1</v>
      </c>
      <c r="S15" s="15">
        <v>14.4</v>
      </c>
      <c r="T15" s="15">
        <v>14.2</v>
      </c>
      <c r="U15" s="15">
        <v>13.7</v>
      </c>
      <c r="V15" s="16">
        <v>48.6</v>
      </c>
      <c r="W15" s="16">
        <v>44</v>
      </c>
      <c r="X15" s="16">
        <v>39</v>
      </c>
      <c r="Y15" s="16">
        <v>38</v>
      </c>
      <c r="Z15" s="16">
        <v>39</v>
      </c>
      <c r="AA15" s="16">
        <v>36</v>
      </c>
      <c r="AB15" s="16">
        <v>37.6</v>
      </c>
      <c r="AC15" s="16">
        <v>36</v>
      </c>
      <c r="AD15" s="16">
        <v>37</v>
      </c>
      <c r="AE15" s="16">
        <v>37</v>
      </c>
      <c r="AF15" s="16">
        <v>38</v>
      </c>
      <c r="AG15" s="16">
        <v>42</v>
      </c>
      <c r="AH15" s="17">
        <v>15</v>
      </c>
      <c r="AI15" s="17">
        <v>15</v>
      </c>
      <c r="AJ15" s="17">
        <v>15</v>
      </c>
      <c r="AK15" s="17">
        <v>15</v>
      </c>
      <c r="AL15" s="17">
        <v>15</v>
      </c>
      <c r="AM15" s="17">
        <v>15</v>
      </c>
      <c r="AN15" s="17">
        <v>15</v>
      </c>
      <c r="AO15" s="17">
        <v>15</v>
      </c>
      <c r="AP15" s="17">
        <v>15</v>
      </c>
      <c r="AQ15" s="17">
        <v>15</v>
      </c>
      <c r="AR15" s="17">
        <v>15</v>
      </c>
      <c r="AS15" s="17">
        <v>16</v>
      </c>
      <c r="AT15" s="18">
        <f t="shared" si="0"/>
        <v>3.4577556177856716</v>
      </c>
      <c r="AU15" s="18">
        <f t="shared" si="1"/>
        <v>2.8106039282635762</v>
      </c>
      <c r="AV15" s="18">
        <f t="shared" si="2"/>
        <v>2.1964208477508653</v>
      </c>
      <c r="AW15" s="18">
        <f t="shared" si="3"/>
        <v>1.9630694967929645</v>
      </c>
      <c r="AX15" s="18">
        <f t="shared" si="4"/>
        <v>2.0727040816326534</v>
      </c>
      <c r="AY15" s="18">
        <f t="shared" si="5"/>
        <v>1.8338305051591761</v>
      </c>
      <c r="AZ15" s="18">
        <f t="shared" si="6"/>
        <v>1.9424056073530387</v>
      </c>
      <c r="BA15" s="18">
        <f t="shared" si="7"/>
        <v>1.7835909631391198</v>
      </c>
      <c r="BB15" s="18">
        <f t="shared" si="8"/>
        <v>1.938618111094345</v>
      </c>
      <c r="BC15" s="18">
        <f t="shared" si="9"/>
        <v>1.8586837705761319</v>
      </c>
      <c r="BD15" s="18">
        <f t="shared" si="10"/>
        <v>1.9630694967929645</v>
      </c>
      <c r="BE15" s="18">
        <f t="shared" si="11"/>
        <v>2.3309712824338003</v>
      </c>
      <c r="BF15" s="18">
        <f t="shared" si="12"/>
        <v>2.0661157024793391</v>
      </c>
      <c r="BG15" s="18">
        <f t="shared" si="13"/>
        <v>1.9577133907595929</v>
      </c>
      <c r="BH15" s="18">
        <f t="shared" si="14"/>
        <v>1.8382352941176472</v>
      </c>
      <c r="BI15" s="18">
        <f t="shared" si="15"/>
        <v>1.7605633802816902</v>
      </c>
      <c r="BJ15" s="18">
        <f t="shared" si="16"/>
        <v>1.7857142857142858</v>
      </c>
      <c r="BK15" s="18">
        <f t="shared" si="17"/>
        <v>1.7482517482517481</v>
      </c>
      <c r="BL15" s="18">
        <f t="shared" si="18"/>
        <v>1.7605633802816902</v>
      </c>
      <c r="BM15" s="18">
        <f t="shared" si="19"/>
        <v>1.7241379310344827</v>
      </c>
      <c r="BN15" s="18">
        <f t="shared" si="20"/>
        <v>1.773049645390071</v>
      </c>
      <c r="BO15" s="18">
        <f t="shared" si="21"/>
        <v>1.7361111111111112</v>
      </c>
      <c r="BP15" s="18">
        <f t="shared" si="22"/>
        <v>1.7605633802816902</v>
      </c>
      <c r="BQ15" s="18">
        <f t="shared" si="23"/>
        <v>1.8248175182481752</v>
      </c>
      <c r="BR15" s="7">
        <f t="shared" si="24"/>
        <v>166.06999999999996</v>
      </c>
      <c r="BS15" s="7">
        <f t="shared" si="25"/>
        <v>2.0661157024793391</v>
      </c>
      <c r="BT15" s="9">
        <f t="shared" si="26"/>
        <v>0.15384615384615399</v>
      </c>
      <c r="BU15" s="7">
        <f t="shared" si="27"/>
        <v>1.7482517482517481</v>
      </c>
      <c r="BV15" s="7">
        <f t="shared" si="28"/>
        <v>11.299753202442028</v>
      </c>
      <c r="BW15" s="8">
        <f t="shared" si="29"/>
        <v>7.3176712652345732E-4</v>
      </c>
      <c r="BX15" s="8">
        <f t="shared" si="30"/>
        <v>7.7056787425795303E-4</v>
      </c>
    </row>
    <row r="16" spans="1:76" x14ac:dyDescent="0.2">
      <c r="A16" s="12">
        <v>37349</v>
      </c>
      <c r="B16" s="13" t="s">
        <v>86</v>
      </c>
      <c r="C16" s="19">
        <v>45481</v>
      </c>
      <c r="D16" s="13" t="s">
        <v>76</v>
      </c>
      <c r="E16" s="14">
        <f t="shared" si="31"/>
        <v>22.264202600958249</v>
      </c>
      <c r="F16" s="13" t="s">
        <v>71</v>
      </c>
      <c r="G16" s="13" t="s">
        <v>77</v>
      </c>
      <c r="H16" s="13" t="s">
        <v>74</v>
      </c>
      <c r="I16" s="13">
        <v>62.2</v>
      </c>
      <c r="J16" s="15">
        <v>14.9</v>
      </c>
      <c r="K16" s="15">
        <v>15.6</v>
      </c>
      <c r="L16" s="15">
        <v>15.81</v>
      </c>
      <c r="M16" s="15">
        <v>16.399999999999999</v>
      </c>
      <c r="N16" s="15">
        <v>16.600000000000001</v>
      </c>
      <c r="O16" s="15">
        <v>16.8</v>
      </c>
      <c r="P16" s="15">
        <v>16.8</v>
      </c>
      <c r="Q16" s="15">
        <v>16.899999999999999</v>
      </c>
      <c r="R16" s="15">
        <v>16.8</v>
      </c>
      <c r="S16" s="15">
        <v>16.8</v>
      </c>
      <c r="T16" s="15">
        <v>16.600000000000001</v>
      </c>
      <c r="U16" s="15">
        <v>17</v>
      </c>
      <c r="V16" s="16">
        <v>47</v>
      </c>
      <c r="W16" s="16">
        <v>43</v>
      </c>
      <c r="X16" s="16">
        <v>40</v>
      </c>
      <c r="Y16" s="16">
        <v>37.4</v>
      </c>
      <c r="Z16" s="16">
        <v>36</v>
      </c>
      <c r="AA16" s="16">
        <v>36</v>
      </c>
      <c r="AB16" s="16">
        <v>36</v>
      </c>
      <c r="AC16" s="16">
        <v>35</v>
      </c>
      <c r="AD16" s="16">
        <v>35</v>
      </c>
      <c r="AE16" s="16">
        <v>35</v>
      </c>
      <c r="AF16" s="16">
        <v>35</v>
      </c>
      <c r="AG16" s="16">
        <v>37</v>
      </c>
      <c r="AH16" s="17">
        <v>9</v>
      </c>
      <c r="AI16" s="17">
        <v>8</v>
      </c>
      <c r="AJ16" s="17">
        <v>8</v>
      </c>
      <c r="AK16" s="17">
        <v>8</v>
      </c>
      <c r="AL16" s="17">
        <v>8</v>
      </c>
      <c r="AM16" s="17">
        <v>8</v>
      </c>
      <c r="AN16" s="17">
        <v>7</v>
      </c>
      <c r="AO16" s="17">
        <v>7</v>
      </c>
      <c r="AP16" s="17">
        <v>7</v>
      </c>
      <c r="AQ16" s="17">
        <v>7</v>
      </c>
      <c r="AR16" s="17">
        <v>8</v>
      </c>
      <c r="AS16" s="17">
        <v>8</v>
      </c>
      <c r="AT16" s="18">
        <f t="shared" si="0"/>
        <v>2.2052309956007989</v>
      </c>
      <c r="AU16" s="18">
        <f t="shared" si="1"/>
        <v>1.8405517203594131</v>
      </c>
      <c r="AV16" s="18">
        <f t="shared" si="2"/>
        <v>1.666959384734626</v>
      </c>
      <c r="AW16" s="18">
        <f t="shared" si="3"/>
        <v>1.4484805671227443</v>
      </c>
      <c r="AX16" s="18">
        <f t="shared" si="4"/>
        <v>1.3608651473363329</v>
      </c>
      <c r="AY16" s="18">
        <f t="shared" si="5"/>
        <v>1.3286564625850341</v>
      </c>
      <c r="AZ16" s="18">
        <f t="shared" si="6"/>
        <v>1.3286564625850341</v>
      </c>
      <c r="BA16" s="18">
        <f t="shared" si="7"/>
        <v>1.2765075919377242</v>
      </c>
      <c r="BB16" s="18">
        <f t="shared" si="8"/>
        <v>1.2917493386243388</v>
      </c>
      <c r="BC16" s="18">
        <f t="shared" si="9"/>
        <v>1.2917493386243388</v>
      </c>
      <c r="BD16" s="18">
        <f t="shared" si="10"/>
        <v>1.3230633376881016</v>
      </c>
      <c r="BE16" s="18">
        <f t="shared" si="11"/>
        <v>1.3336216839677051</v>
      </c>
      <c r="BF16" s="18">
        <f t="shared" si="12"/>
        <v>1.6778523489932886</v>
      </c>
      <c r="BG16" s="18">
        <f t="shared" si="13"/>
        <v>1.6025641025641026</v>
      </c>
      <c r="BH16" s="18">
        <f t="shared" si="14"/>
        <v>1.5812776723592663</v>
      </c>
      <c r="BI16" s="18">
        <f t="shared" si="15"/>
        <v>1.524390243902439</v>
      </c>
      <c r="BJ16" s="18">
        <f t="shared" si="16"/>
        <v>1.506024096385542</v>
      </c>
      <c r="BK16" s="18">
        <f t="shared" si="17"/>
        <v>1.4880952380952381</v>
      </c>
      <c r="BL16" s="18">
        <f t="shared" si="18"/>
        <v>1.4880952380952381</v>
      </c>
      <c r="BM16" s="18">
        <f t="shared" si="19"/>
        <v>1.4792899408284026</v>
      </c>
      <c r="BN16" s="18">
        <f t="shared" si="20"/>
        <v>1.4880952380952381</v>
      </c>
      <c r="BO16" s="18">
        <f t="shared" si="21"/>
        <v>1.4880952380952381</v>
      </c>
      <c r="BP16" s="18">
        <f t="shared" si="22"/>
        <v>1.506024096385542</v>
      </c>
      <c r="BQ16" s="18">
        <f t="shared" si="23"/>
        <v>1.4705882352941178</v>
      </c>
      <c r="BR16" s="7">
        <f t="shared" si="24"/>
        <v>197.01000000000002</v>
      </c>
      <c r="BS16" s="7">
        <f t="shared" si="25"/>
        <v>1.6778523489932886</v>
      </c>
      <c r="BT16" s="9">
        <f t="shared" si="26"/>
        <v>0.11834319526627206</v>
      </c>
      <c r="BU16" s="7">
        <f t="shared" si="27"/>
        <v>1.4792899408284026</v>
      </c>
      <c r="BV16" s="7">
        <f t="shared" si="28"/>
        <v>10.242960218019006</v>
      </c>
      <c r="BW16" s="8">
        <f t="shared" si="29"/>
        <v>8.5571665307646841E-4</v>
      </c>
      <c r="BX16" s="8">
        <f t="shared" si="30"/>
        <v>9.0201528136313065E-4</v>
      </c>
    </row>
    <row r="17" spans="1:76" x14ac:dyDescent="0.2">
      <c r="A17" s="12">
        <v>37766</v>
      </c>
      <c r="B17" s="13" t="s">
        <v>84</v>
      </c>
      <c r="C17" s="19">
        <v>45481</v>
      </c>
      <c r="D17" s="13" t="s">
        <v>76</v>
      </c>
      <c r="E17" s="14">
        <f t="shared" si="31"/>
        <v>21.12251882272416</v>
      </c>
      <c r="F17" s="13" t="s">
        <v>71</v>
      </c>
      <c r="G17" s="13" t="s">
        <v>77</v>
      </c>
      <c r="H17" s="13" t="s">
        <v>73</v>
      </c>
      <c r="I17" s="13">
        <v>52.69</v>
      </c>
      <c r="J17" s="15">
        <v>12</v>
      </c>
      <c r="K17" s="15">
        <v>13</v>
      </c>
      <c r="L17" s="15">
        <v>13.2</v>
      </c>
      <c r="M17" s="15">
        <v>13.8</v>
      </c>
      <c r="N17" s="15">
        <v>14</v>
      </c>
      <c r="O17" s="15">
        <v>14.4</v>
      </c>
      <c r="P17" s="15">
        <v>14.5</v>
      </c>
      <c r="Q17" s="15">
        <v>14.8</v>
      </c>
      <c r="R17" s="15">
        <v>15.5</v>
      </c>
      <c r="S17" s="15">
        <v>15.4</v>
      </c>
      <c r="T17" s="15">
        <v>15.6</v>
      </c>
      <c r="U17" s="15">
        <v>15.9</v>
      </c>
      <c r="V17" s="16">
        <v>55</v>
      </c>
      <c r="W17" s="16">
        <v>53.5</v>
      </c>
      <c r="X17" s="16">
        <v>53.5</v>
      </c>
      <c r="Y17" s="16">
        <v>54</v>
      </c>
      <c r="Z17" s="16">
        <v>51</v>
      </c>
      <c r="AA17" s="16">
        <v>52</v>
      </c>
      <c r="AB17" s="16">
        <v>51.5</v>
      </c>
      <c r="AC17" s="16">
        <v>51</v>
      </c>
      <c r="AD17" s="16">
        <v>50</v>
      </c>
      <c r="AE17" s="16">
        <v>49</v>
      </c>
      <c r="AF17" s="16">
        <v>50</v>
      </c>
      <c r="AG17" s="16">
        <v>49</v>
      </c>
      <c r="AH17" s="17">
        <v>10</v>
      </c>
      <c r="AI17" s="17">
        <v>10</v>
      </c>
      <c r="AJ17" s="17">
        <v>10</v>
      </c>
      <c r="AK17" s="17">
        <v>10</v>
      </c>
      <c r="AL17" s="17">
        <v>10</v>
      </c>
      <c r="AM17" s="17">
        <v>10</v>
      </c>
      <c r="AN17" s="17">
        <v>10</v>
      </c>
      <c r="AO17" s="17">
        <v>10</v>
      </c>
      <c r="AP17" s="17">
        <v>10</v>
      </c>
      <c r="AQ17" s="17">
        <v>10</v>
      </c>
      <c r="AR17" s="17">
        <v>10</v>
      </c>
      <c r="AS17" s="17">
        <v>11</v>
      </c>
      <c r="AT17" s="18">
        <f t="shared" si="0"/>
        <v>3.9785879629629637</v>
      </c>
      <c r="AU17" s="18">
        <f t="shared" si="1"/>
        <v>3.2975838264299804</v>
      </c>
      <c r="AV17" s="18">
        <f t="shared" si="2"/>
        <v>3.1984140648913382</v>
      </c>
      <c r="AW17" s="18">
        <f t="shared" si="3"/>
        <v>2.9536862003780713</v>
      </c>
      <c r="AX17" s="18">
        <f t="shared" si="4"/>
        <v>2.7104591836734695</v>
      </c>
      <c r="AY17" s="18">
        <f t="shared" si="5"/>
        <v>2.6122042181069962</v>
      </c>
      <c r="AZ17" s="18">
        <f t="shared" si="6"/>
        <v>2.5515259611573518</v>
      </c>
      <c r="BA17" s="18">
        <f t="shared" si="7"/>
        <v>2.4253560993425851</v>
      </c>
      <c r="BB17" s="18">
        <f t="shared" si="8"/>
        <v>2.1678806798473809</v>
      </c>
      <c r="BC17" s="18">
        <f t="shared" si="9"/>
        <v>2.1522038567493111</v>
      </c>
      <c r="BD17" s="18">
        <f t="shared" si="10"/>
        <v>2.1401764190225734</v>
      </c>
      <c r="BE17" s="18">
        <f t="shared" si="11"/>
        <v>2.0189734055878588</v>
      </c>
      <c r="BF17" s="18">
        <f t="shared" si="12"/>
        <v>2.0833333333333335</v>
      </c>
      <c r="BG17" s="18">
        <f t="shared" si="13"/>
        <v>1.9230769230769231</v>
      </c>
      <c r="BH17" s="18">
        <f t="shared" si="14"/>
        <v>1.893939393939394</v>
      </c>
      <c r="BI17" s="18">
        <f t="shared" si="15"/>
        <v>1.8115942028985506</v>
      </c>
      <c r="BJ17" s="18">
        <f t="shared" si="16"/>
        <v>1.7857142857142858</v>
      </c>
      <c r="BK17" s="18">
        <f t="shared" si="17"/>
        <v>1.7361111111111112</v>
      </c>
      <c r="BL17" s="18">
        <f t="shared" si="18"/>
        <v>1.7241379310344827</v>
      </c>
      <c r="BM17" s="18">
        <f t="shared" si="19"/>
        <v>1.689189189189189</v>
      </c>
      <c r="BN17" s="18">
        <f t="shared" si="20"/>
        <v>1.6129032258064515</v>
      </c>
      <c r="BO17" s="18">
        <f t="shared" si="21"/>
        <v>1.6233766233766234</v>
      </c>
      <c r="BP17" s="18">
        <f t="shared" si="22"/>
        <v>1.6025641025641026</v>
      </c>
      <c r="BQ17" s="18">
        <f t="shared" si="23"/>
        <v>1.5723270440251571</v>
      </c>
      <c r="BR17" s="7">
        <f t="shared" si="24"/>
        <v>172.1</v>
      </c>
      <c r="BS17" s="7">
        <f t="shared" si="25"/>
        <v>2.0833333333333335</v>
      </c>
      <c r="BT17" s="9">
        <f t="shared" si="26"/>
        <v>0.23809523809523819</v>
      </c>
      <c r="BU17" s="7">
        <f t="shared" si="27"/>
        <v>1.5873015873015872</v>
      </c>
      <c r="BV17" s="7">
        <f t="shared" si="28"/>
        <v>30.424574857844629</v>
      </c>
      <c r="BW17" s="8">
        <f t="shared" si="29"/>
        <v>8.0121601699493627E-4</v>
      </c>
      <c r="BX17" s="8">
        <f t="shared" si="30"/>
        <v>8.4418457349536794E-4</v>
      </c>
    </row>
    <row r="18" spans="1:76" x14ac:dyDescent="0.2">
      <c r="A18" s="12">
        <v>37316</v>
      </c>
      <c r="B18" s="13" t="s">
        <v>81</v>
      </c>
      <c r="C18" s="19">
        <v>45481</v>
      </c>
      <c r="D18" s="13" t="s">
        <v>76</v>
      </c>
      <c r="E18" s="14">
        <f>(C18-A18)/365.25</f>
        <v>22.354551676933607</v>
      </c>
      <c r="F18" s="13" t="s">
        <v>71</v>
      </c>
      <c r="G18" s="13" t="s">
        <v>77</v>
      </c>
      <c r="H18" s="13" t="s">
        <v>72</v>
      </c>
      <c r="I18" s="13">
        <v>49.79</v>
      </c>
      <c r="J18" s="15">
        <v>11.6</v>
      </c>
      <c r="K18" s="15">
        <v>12</v>
      </c>
      <c r="L18" s="15">
        <v>12.9</v>
      </c>
      <c r="M18" s="15">
        <v>13.5</v>
      </c>
      <c r="N18" s="15">
        <v>14</v>
      </c>
      <c r="O18" s="15">
        <v>14.2</v>
      </c>
      <c r="P18" s="15">
        <v>14.3</v>
      </c>
      <c r="Q18" s="15">
        <v>14.6</v>
      </c>
      <c r="R18" s="15">
        <v>15.2</v>
      </c>
      <c r="S18" s="15">
        <v>14.9</v>
      </c>
      <c r="T18" s="15">
        <v>15</v>
      </c>
      <c r="U18" s="15">
        <v>15.4</v>
      </c>
      <c r="V18" s="16">
        <v>52</v>
      </c>
      <c r="W18" s="16">
        <v>48</v>
      </c>
      <c r="X18" s="16">
        <v>47</v>
      </c>
      <c r="Y18" s="16">
        <v>46</v>
      </c>
      <c r="Z18" s="16">
        <v>42</v>
      </c>
      <c r="AA18" s="16">
        <v>41</v>
      </c>
      <c r="AB18" s="16">
        <v>41</v>
      </c>
      <c r="AC18" s="16">
        <v>40</v>
      </c>
      <c r="AD18" s="16">
        <v>39</v>
      </c>
      <c r="AE18" s="16">
        <v>39</v>
      </c>
      <c r="AF18" s="16">
        <v>38</v>
      </c>
      <c r="AG18" s="16">
        <v>38.5</v>
      </c>
      <c r="AH18" s="17">
        <v>14</v>
      </c>
      <c r="AI18" s="17">
        <v>15</v>
      </c>
      <c r="AJ18" s="17">
        <v>16</v>
      </c>
      <c r="AK18" s="17">
        <v>16</v>
      </c>
      <c r="AL18" s="17">
        <v>15</v>
      </c>
      <c r="AM18" s="17">
        <v>15</v>
      </c>
      <c r="AN18" s="17">
        <v>16</v>
      </c>
      <c r="AO18" s="17">
        <v>16</v>
      </c>
      <c r="AP18" s="17">
        <v>16</v>
      </c>
      <c r="AQ18" s="17">
        <v>16</v>
      </c>
      <c r="AR18" s="17">
        <v>15</v>
      </c>
      <c r="AS18" s="17">
        <v>16</v>
      </c>
      <c r="AT18" s="18">
        <f t="shared" si="0"/>
        <v>4.0254657154181537</v>
      </c>
      <c r="AU18" s="18">
        <f t="shared" si="1"/>
        <v>3.4722222222222232</v>
      </c>
      <c r="AV18" s="18">
        <f t="shared" si="2"/>
        <v>2.9420307273200725</v>
      </c>
      <c r="AW18" s="18">
        <f t="shared" si="3"/>
        <v>2.6291723822588025</v>
      </c>
      <c r="AX18" s="18">
        <f t="shared" si="4"/>
        <v>2.2321428571428572</v>
      </c>
      <c r="AY18" s="18">
        <f t="shared" si="5"/>
        <v>2.1180486675924093</v>
      </c>
      <c r="AZ18" s="18">
        <f t="shared" si="6"/>
        <v>2.088529186431284</v>
      </c>
      <c r="BA18" s="18">
        <f t="shared" si="7"/>
        <v>1.9547132044786386</v>
      </c>
      <c r="BB18" s="18">
        <f t="shared" si="8"/>
        <v>1.758353531855956</v>
      </c>
      <c r="BC18" s="18">
        <f t="shared" si="9"/>
        <v>1.8298725282644928</v>
      </c>
      <c r="BD18" s="18">
        <f t="shared" si="10"/>
        <v>1.7592592592592593</v>
      </c>
      <c r="BE18" s="18">
        <f t="shared" si="11"/>
        <v>1.6910173160173161</v>
      </c>
      <c r="BF18" s="18">
        <f t="shared" si="12"/>
        <v>2.1551724137931036</v>
      </c>
      <c r="BG18" s="18">
        <f t="shared" si="13"/>
        <v>2.0833333333333335</v>
      </c>
      <c r="BH18" s="18">
        <f t="shared" si="14"/>
        <v>1.9379844961240309</v>
      </c>
      <c r="BI18" s="18">
        <f t="shared" si="15"/>
        <v>1.8518518518518519</v>
      </c>
      <c r="BJ18" s="18">
        <f t="shared" si="16"/>
        <v>1.7857142857142858</v>
      </c>
      <c r="BK18" s="18">
        <f t="shared" si="17"/>
        <v>1.7605633802816902</v>
      </c>
      <c r="BL18" s="18">
        <f t="shared" si="18"/>
        <v>1.7482517482517481</v>
      </c>
      <c r="BM18" s="18">
        <f t="shared" si="19"/>
        <v>1.7123287671232876</v>
      </c>
      <c r="BN18" s="18">
        <f t="shared" si="20"/>
        <v>1.6447368421052633</v>
      </c>
      <c r="BO18" s="18">
        <f t="shared" si="21"/>
        <v>1.6778523489932886</v>
      </c>
      <c r="BP18" s="18">
        <f t="shared" si="22"/>
        <v>1.6666666666666667</v>
      </c>
      <c r="BQ18" s="18">
        <f t="shared" si="23"/>
        <v>1.6233766233766234</v>
      </c>
      <c r="BR18" s="7">
        <f t="shared" si="24"/>
        <v>167.6</v>
      </c>
      <c r="BS18" s="7">
        <f t="shared" si="25"/>
        <v>2.1551724137931036</v>
      </c>
      <c r="BT18" s="9">
        <f t="shared" si="26"/>
        <v>0.24183006535947721</v>
      </c>
      <c r="BU18" s="7">
        <f t="shared" si="27"/>
        <v>1.6339869281045751</v>
      </c>
      <c r="BV18" s="7">
        <f t="shared" si="28"/>
        <v>29.769735058659478</v>
      </c>
      <c r="BW18" s="8">
        <f t="shared" si="29"/>
        <v>7.7975069994092234E-4</v>
      </c>
      <c r="BX18" s="8">
        <f t="shared" si="30"/>
        <v>8.214220239909642E-4</v>
      </c>
    </row>
    <row r="19" spans="1:76" x14ac:dyDescent="0.2">
      <c r="A19" s="12">
        <v>37316</v>
      </c>
      <c r="B19" s="13" t="s">
        <v>81</v>
      </c>
      <c r="C19" s="19">
        <v>45315</v>
      </c>
      <c r="D19" s="13" t="s">
        <v>76</v>
      </c>
      <c r="E19" s="14">
        <f>(C19-A19)/365.25</f>
        <v>21.900068446269678</v>
      </c>
      <c r="F19" s="13" t="s">
        <v>71</v>
      </c>
      <c r="G19" s="13" t="s">
        <v>77</v>
      </c>
      <c r="H19" s="13" t="s">
        <v>72</v>
      </c>
      <c r="I19" s="13">
        <v>50.22</v>
      </c>
      <c r="J19" s="15">
        <v>11.7</v>
      </c>
      <c r="K19" s="15">
        <v>12.1</v>
      </c>
      <c r="L19" s="15">
        <v>12.6</v>
      </c>
      <c r="M19" s="15">
        <v>13.7</v>
      </c>
      <c r="N19" s="15">
        <v>13.7</v>
      </c>
      <c r="O19" s="15">
        <v>14.4</v>
      </c>
      <c r="P19" s="15">
        <v>14.5</v>
      </c>
      <c r="Q19" s="15">
        <v>14.8</v>
      </c>
      <c r="R19" s="15">
        <v>14.3</v>
      </c>
      <c r="S19" s="15">
        <v>14.62</v>
      </c>
      <c r="T19" s="15">
        <v>14.58</v>
      </c>
      <c r="U19" s="15">
        <v>14.85</v>
      </c>
      <c r="V19" s="16">
        <v>56.8</v>
      </c>
      <c r="W19" s="16">
        <v>51.2</v>
      </c>
      <c r="X19" s="16">
        <v>48.8</v>
      </c>
      <c r="Y19" s="16">
        <v>43.6</v>
      </c>
      <c r="Z19" s="16">
        <v>43.3</v>
      </c>
      <c r="AA19" s="16">
        <v>41.7</v>
      </c>
      <c r="AB19" s="16">
        <v>40.4</v>
      </c>
      <c r="AC19" s="16">
        <v>40</v>
      </c>
      <c r="AD19" s="16">
        <v>42</v>
      </c>
      <c r="AE19" s="16">
        <v>41</v>
      </c>
      <c r="AF19" s="16">
        <v>39</v>
      </c>
      <c r="AG19" s="16">
        <v>40</v>
      </c>
      <c r="AH19" s="17">
        <v>16</v>
      </c>
      <c r="AI19" s="17">
        <v>16</v>
      </c>
      <c r="AJ19" s="17">
        <v>17</v>
      </c>
      <c r="AK19" s="17">
        <v>16</v>
      </c>
      <c r="AL19" s="17">
        <v>16</v>
      </c>
      <c r="AM19" s="17">
        <v>16</v>
      </c>
      <c r="AN19" s="17">
        <v>16</v>
      </c>
      <c r="AO19" s="17">
        <v>16</v>
      </c>
      <c r="AP19" s="17">
        <v>16</v>
      </c>
      <c r="AQ19" s="17">
        <v>16</v>
      </c>
      <c r="AR19" s="17">
        <v>16</v>
      </c>
      <c r="AS19" s="17">
        <v>16</v>
      </c>
      <c r="AT19" s="18">
        <f t="shared" si="0"/>
        <v>4.3222051769060315</v>
      </c>
      <c r="AU19" s="18">
        <f t="shared" si="1"/>
        <v>3.6427384286137117</v>
      </c>
      <c r="AV19" s="18">
        <f t="shared" si="2"/>
        <v>3.2018980431678843</v>
      </c>
      <c r="AW19" s="18">
        <f t="shared" si="3"/>
        <v>2.4197701884312788</v>
      </c>
      <c r="AX19" s="18">
        <f t="shared" si="4"/>
        <v>2.4031203935567511</v>
      </c>
      <c r="AY19" s="18">
        <f t="shared" si="5"/>
        <v>2.0947868441358026</v>
      </c>
      <c r="AZ19" s="18">
        <f t="shared" si="6"/>
        <v>2.0015854141894569</v>
      </c>
      <c r="BA19" s="18">
        <f t="shared" si="7"/>
        <v>1.9022400779157531</v>
      </c>
      <c r="BB19" s="18">
        <f t="shared" si="8"/>
        <v>2.1394689226857055</v>
      </c>
      <c r="BC19" s="18">
        <f t="shared" si="9"/>
        <v>1.998103030223638</v>
      </c>
      <c r="BD19" s="18">
        <f t="shared" si="10"/>
        <v>1.9110776172707786</v>
      </c>
      <c r="BE19" s="18">
        <f t="shared" si="11"/>
        <v>1.8894519455686685</v>
      </c>
      <c r="BF19" s="18">
        <f t="shared" si="12"/>
        <v>2.1367521367521367</v>
      </c>
      <c r="BG19" s="18">
        <f t="shared" si="13"/>
        <v>2.0661157024793391</v>
      </c>
      <c r="BH19" s="18">
        <f t="shared" si="14"/>
        <v>1.9841269841269842</v>
      </c>
      <c r="BI19" s="18">
        <f t="shared" si="15"/>
        <v>1.8248175182481752</v>
      </c>
      <c r="BJ19" s="18">
        <f t="shared" si="16"/>
        <v>1.8248175182481752</v>
      </c>
      <c r="BK19" s="18">
        <f t="shared" si="17"/>
        <v>1.7361111111111112</v>
      </c>
      <c r="BL19" s="18">
        <f t="shared" si="18"/>
        <v>1.7241379310344827</v>
      </c>
      <c r="BM19" s="18">
        <f t="shared" si="19"/>
        <v>1.689189189189189</v>
      </c>
      <c r="BN19" s="18">
        <f t="shared" si="20"/>
        <v>1.7482517482517481</v>
      </c>
      <c r="BO19" s="18">
        <f t="shared" si="21"/>
        <v>1.7099863201094392</v>
      </c>
      <c r="BP19" s="18">
        <f t="shared" si="22"/>
        <v>1.7146776406035664</v>
      </c>
      <c r="BQ19" s="18">
        <f t="shared" si="23"/>
        <v>1.6835016835016836</v>
      </c>
      <c r="BR19" s="7">
        <f t="shared" si="24"/>
        <v>165.85</v>
      </c>
      <c r="BS19" s="7">
        <f t="shared" si="25"/>
        <v>2.1367521367521367</v>
      </c>
      <c r="BT19" s="9">
        <f t="shared" si="26"/>
        <v>0.20597217509331517</v>
      </c>
      <c r="BU19" s="7">
        <f t="shared" si="27"/>
        <v>1.6966406515100103</v>
      </c>
      <c r="BV19" s="7">
        <f t="shared" si="28"/>
        <v>21.686114255404757</v>
      </c>
      <c r="BW19" s="8">
        <f t="shared" si="29"/>
        <v>7.5268812590474534E-4</v>
      </c>
      <c r="BX19" s="8">
        <f t="shared" si="30"/>
        <v>7.9273548574164627E-4</v>
      </c>
    </row>
    <row r="20" spans="1:76" x14ac:dyDescent="0.2">
      <c r="A20" s="12">
        <v>38434</v>
      </c>
      <c r="B20" s="13" t="s">
        <v>78</v>
      </c>
      <c r="C20" s="19">
        <v>45315</v>
      </c>
      <c r="D20" s="13" t="s">
        <v>76</v>
      </c>
      <c r="E20" s="14">
        <f t="shared" ref="E20:E25" si="32">(C20-A20)/365.25</f>
        <v>18.839151266255989</v>
      </c>
      <c r="F20" s="13" t="s">
        <v>71</v>
      </c>
      <c r="G20" s="13" t="s">
        <v>77</v>
      </c>
      <c r="H20" s="13" t="s">
        <v>72</v>
      </c>
      <c r="I20" s="13">
        <v>51.39</v>
      </c>
      <c r="J20" s="15">
        <v>11.4</v>
      </c>
      <c r="K20" s="15">
        <v>11.86</v>
      </c>
      <c r="L20" s="15">
        <v>13.24</v>
      </c>
      <c r="M20" s="15">
        <v>13.46</v>
      </c>
      <c r="N20" s="15">
        <v>14.25</v>
      </c>
      <c r="O20" s="15">
        <v>15.17</v>
      </c>
      <c r="P20" s="15">
        <v>15.22</v>
      </c>
      <c r="Q20" s="15">
        <v>15.8</v>
      </c>
      <c r="R20" s="15">
        <v>14.84</v>
      </c>
      <c r="S20" s="15">
        <v>15.38</v>
      </c>
      <c r="T20" s="15">
        <v>14.95</v>
      </c>
      <c r="U20" s="15">
        <v>15.2</v>
      </c>
      <c r="V20" s="16">
        <v>55</v>
      </c>
      <c r="W20" s="16">
        <v>55</v>
      </c>
      <c r="X20" s="16">
        <v>49</v>
      </c>
      <c r="Y20" s="16">
        <v>46</v>
      </c>
      <c r="Z20" s="16">
        <v>44</v>
      </c>
      <c r="AA20" s="16">
        <v>41</v>
      </c>
      <c r="AB20" s="16">
        <v>41</v>
      </c>
      <c r="AC20" s="16">
        <v>40</v>
      </c>
      <c r="AD20" s="16">
        <v>41</v>
      </c>
      <c r="AE20" s="16">
        <v>41</v>
      </c>
      <c r="AF20" s="16">
        <v>41</v>
      </c>
      <c r="AG20" s="16">
        <v>40</v>
      </c>
      <c r="AH20" s="17">
        <v>17</v>
      </c>
      <c r="AI20" s="17">
        <v>18</v>
      </c>
      <c r="AJ20" s="17">
        <v>17</v>
      </c>
      <c r="AK20" s="17">
        <v>18</v>
      </c>
      <c r="AL20" s="17">
        <v>18</v>
      </c>
      <c r="AM20" s="17">
        <v>19</v>
      </c>
      <c r="AN20" s="17">
        <v>18</v>
      </c>
      <c r="AO20" s="17">
        <v>18</v>
      </c>
      <c r="AP20" s="17">
        <v>18</v>
      </c>
      <c r="AQ20" s="17">
        <v>18</v>
      </c>
      <c r="AR20" s="17">
        <v>17</v>
      </c>
      <c r="AS20" s="17">
        <v>18</v>
      </c>
      <c r="AT20" s="18">
        <f t="shared" si="0"/>
        <v>4.4084077151944179</v>
      </c>
      <c r="AU20" s="18">
        <f t="shared" si="1"/>
        <v>4.0730719173569847</v>
      </c>
      <c r="AV20" s="18">
        <f t="shared" si="2"/>
        <v>2.9117150871812654</v>
      </c>
      <c r="AW20" s="18">
        <f t="shared" si="3"/>
        <v>2.6448221833149708</v>
      </c>
      <c r="AX20" s="18">
        <f t="shared" si="4"/>
        <v>2.257104750179542</v>
      </c>
      <c r="AY20" s="18">
        <f t="shared" si="5"/>
        <v>1.8558439784543939</v>
      </c>
      <c r="AZ20" s="18">
        <f t="shared" si="6"/>
        <v>1.8436705512895115</v>
      </c>
      <c r="BA20" s="18">
        <f t="shared" si="7"/>
        <v>1.6690701276504831</v>
      </c>
      <c r="BB20" s="18">
        <f t="shared" si="8"/>
        <v>1.939299215592253</v>
      </c>
      <c r="BC20" s="18">
        <f t="shared" si="9"/>
        <v>1.8055102269735968</v>
      </c>
      <c r="BD20" s="18">
        <f t="shared" si="10"/>
        <v>1.9108660231242753</v>
      </c>
      <c r="BE20" s="18">
        <f t="shared" si="11"/>
        <v>1.8034395198522626</v>
      </c>
      <c r="BF20" s="18">
        <f t="shared" si="12"/>
        <v>2.1929824561403506</v>
      </c>
      <c r="BG20" s="18">
        <f t="shared" si="13"/>
        <v>2.1079258010118043</v>
      </c>
      <c r="BH20" s="18">
        <f t="shared" si="14"/>
        <v>1.8882175226586102</v>
      </c>
      <c r="BI20" s="18">
        <f t="shared" si="15"/>
        <v>1.8573551263001484</v>
      </c>
      <c r="BJ20" s="18">
        <f t="shared" si="16"/>
        <v>1.7543859649122806</v>
      </c>
      <c r="BK20" s="18">
        <f t="shared" si="17"/>
        <v>1.6479894528675016</v>
      </c>
      <c r="BL20" s="18">
        <f t="shared" si="18"/>
        <v>1.6425755584756898</v>
      </c>
      <c r="BM20" s="18">
        <f t="shared" si="19"/>
        <v>1.5822784810126582</v>
      </c>
      <c r="BN20" s="18">
        <f t="shared" si="20"/>
        <v>1.6846361185983827</v>
      </c>
      <c r="BO20" s="18">
        <f t="shared" si="21"/>
        <v>1.6254876462938881</v>
      </c>
      <c r="BP20" s="18">
        <f t="shared" si="22"/>
        <v>1.6722408026755853</v>
      </c>
      <c r="BQ20" s="18">
        <f t="shared" si="23"/>
        <v>1.6447368421052633</v>
      </c>
      <c r="BR20" s="7">
        <f t="shared" si="24"/>
        <v>170.76999999999998</v>
      </c>
      <c r="BS20" s="7">
        <f t="shared" si="25"/>
        <v>2.1929824561403506</v>
      </c>
      <c r="BT20" s="9">
        <f t="shared" si="26"/>
        <v>0.25441465009810316</v>
      </c>
      <c r="BU20" s="7">
        <f t="shared" si="27"/>
        <v>1.6350555918901244</v>
      </c>
      <c r="BV20" s="7">
        <f t="shared" si="28"/>
        <v>24.561243072570914</v>
      </c>
      <c r="BW20" s="8">
        <f t="shared" si="29"/>
        <v>7.792727991368858E-4</v>
      </c>
      <c r="BX20" s="8">
        <f t="shared" si="30"/>
        <v>8.2091533389137112E-4</v>
      </c>
    </row>
    <row r="21" spans="1:76" x14ac:dyDescent="0.2">
      <c r="A21" s="12">
        <v>37776</v>
      </c>
      <c r="B21" s="13" t="s">
        <v>79</v>
      </c>
      <c r="C21" s="19">
        <v>45315</v>
      </c>
      <c r="D21" s="13" t="s">
        <v>76</v>
      </c>
      <c r="E21" s="14">
        <f t="shared" si="32"/>
        <v>20.640657084188913</v>
      </c>
      <c r="F21" s="13" t="s">
        <v>71</v>
      </c>
      <c r="G21" s="13" t="s">
        <v>77</v>
      </c>
      <c r="H21" s="13" t="s">
        <v>72</v>
      </c>
      <c r="I21" s="13">
        <v>57.36999999999999</v>
      </c>
      <c r="J21" s="15">
        <v>11.94</v>
      </c>
      <c r="K21" s="15">
        <v>13.14</v>
      </c>
      <c r="L21" s="15">
        <v>13.82</v>
      </c>
      <c r="M21" s="15">
        <v>14.03</v>
      </c>
      <c r="N21" s="15">
        <v>14.63</v>
      </c>
      <c r="O21" s="15">
        <v>14.75</v>
      </c>
      <c r="P21" s="15">
        <v>15.36</v>
      </c>
      <c r="Q21" s="15">
        <v>15.41</v>
      </c>
      <c r="R21" s="15">
        <v>15.73</v>
      </c>
      <c r="S21" s="15">
        <v>15.53</v>
      </c>
      <c r="T21" s="15">
        <v>15.32</v>
      </c>
      <c r="U21" s="15">
        <v>15.38</v>
      </c>
      <c r="V21" s="16">
        <v>49.6</v>
      </c>
      <c r="W21" s="16">
        <v>41.2</v>
      </c>
      <c r="X21" s="16">
        <v>39.700000000000003</v>
      </c>
      <c r="Y21" s="16">
        <v>38</v>
      </c>
      <c r="Z21" s="16">
        <v>37.5</v>
      </c>
      <c r="AA21" s="16">
        <v>37.4</v>
      </c>
      <c r="AB21" s="16">
        <v>36.5</v>
      </c>
      <c r="AC21" s="16">
        <v>36.6</v>
      </c>
      <c r="AD21" s="16">
        <v>36.200000000000003</v>
      </c>
      <c r="AE21" s="16">
        <v>36</v>
      </c>
      <c r="AF21" s="16">
        <v>35.5</v>
      </c>
      <c r="AG21" s="16">
        <v>36.299999999999997</v>
      </c>
      <c r="AH21" s="17">
        <v>16</v>
      </c>
      <c r="AI21" s="17">
        <v>15</v>
      </c>
      <c r="AJ21" s="17">
        <v>15</v>
      </c>
      <c r="AK21" s="17">
        <v>15</v>
      </c>
      <c r="AL21" s="17">
        <v>15</v>
      </c>
      <c r="AM21" s="17">
        <v>15</v>
      </c>
      <c r="AN21" s="17">
        <v>16</v>
      </c>
      <c r="AO21" s="17">
        <v>16</v>
      </c>
      <c r="AP21" s="17">
        <v>16</v>
      </c>
      <c r="AQ21" s="17">
        <v>16</v>
      </c>
      <c r="AR21" s="17">
        <v>16</v>
      </c>
      <c r="AS21" s="17">
        <v>17</v>
      </c>
      <c r="AT21" s="18">
        <f t="shared" si="0"/>
        <v>3.6241134950763505</v>
      </c>
      <c r="AU21" s="18">
        <f t="shared" si="1"/>
        <v>2.4856229637197509</v>
      </c>
      <c r="AV21" s="18">
        <f t="shared" si="2"/>
        <v>2.1652257716362886</v>
      </c>
      <c r="AW21" s="18">
        <f t="shared" si="3"/>
        <v>2.0109303164806365</v>
      </c>
      <c r="AX21" s="18">
        <f t="shared" si="4"/>
        <v>1.8250357765413345</v>
      </c>
      <c r="AY21" s="18">
        <f t="shared" si="5"/>
        <v>1.7906731782054963</v>
      </c>
      <c r="AZ21" s="18">
        <f t="shared" si="6"/>
        <v>1.6115329883716725</v>
      </c>
      <c r="BA21" s="18">
        <f t="shared" si="7"/>
        <v>1.6054787990471138</v>
      </c>
      <c r="BB21" s="18">
        <f t="shared" si="8"/>
        <v>1.5239821920744305</v>
      </c>
      <c r="BC21" s="18">
        <f t="shared" si="9"/>
        <v>1.5548494926422451</v>
      </c>
      <c r="BD21" s="18">
        <f t="shared" si="10"/>
        <v>1.5755768439805757</v>
      </c>
      <c r="BE21" s="18">
        <f t="shared" si="11"/>
        <v>1.5985371033936966</v>
      </c>
      <c r="BF21" s="18">
        <f t="shared" si="12"/>
        <v>2.0938023450586267</v>
      </c>
      <c r="BG21" s="18">
        <f t="shared" si="13"/>
        <v>1.9025875190258752</v>
      </c>
      <c r="BH21" s="18">
        <f t="shared" si="14"/>
        <v>1.8089725036179449</v>
      </c>
      <c r="BI21" s="18">
        <f t="shared" si="15"/>
        <v>1.7818959372772631</v>
      </c>
      <c r="BJ21" s="18">
        <f t="shared" si="16"/>
        <v>1.7088174982911823</v>
      </c>
      <c r="BK21" s="18">
        <f t="shared" si="17"/>
        <v>1.6949152542372881</v>
      </c>
      <c r="BL21" s="18">
        <f t="shared" si="18"/>
        <v>1.6276041666666667</v>
      </c>
      <c r="BM21" s="18">
        <f t="shared" si="19"/>
        <v>1.6223231667748215</v>
      </c>
      <c r="BN21" s="18">
        <f t="shared" si="20"/>
        <v>1.589319771137953</v>
      </c>
      <c r="BO21" s="18">
        <f t="shared" si="21"/>
        <v>1.6097875080489377</v>
      </c>
      <c r="BP21" s="18">
        <f t="shared" si="22"/>
        <v>1.6318537859007833</v>
      </c>
      <c r="BQ21" s="18">
        <f t="shared" si="23"/>
        <v>1.6254876462938881</v>
      </c>
      <c r="BR21" s="7">
        <f t="shared" si="24"/>
        <v>175.04</v>
      </c>
      <c r="BS21" s="7">
        <f t="shared" si="25"/>
        <v>2.0938023450586267</v>
      </c>
      <c r="BT21" s="9">
        <f t="shared" si="26"/>
        <v>0.23608445297504799</v>
      </c>
      <c r="BU21" s="7">
        <f t="shared" si="27"/>
        <v>1.5994881637875882</v>
      </c>
      <c r="BV21" s="7">
        <f t="shared" si="28"/>
        <v>23.293999829596181</v>
      </c>
      <c r="BW21" s="8">
        <f t="shared" si="29"/>
        <v>7.954996159004156E-4</v>
      </c>
      <c r="BX21" s="8">
        <f t="shared" si="30"/>
        <v>8.3812191726528038E-4</v>
      </c>
    </row>
    <row r="22" spans="1:76" x14ac:dyDescent="0.2">
      <c r="A22" s="12">
        <v>37766</v>
      </c>
      <c r="B22" s="13" t="s">
        <v>84</v>
      </c>
      <c r="C22" s="19">
        <v>45647</v>
      </c>
      <c r="D22" s="13" t="s">
        <v>76</v>
      </c>
      <c r="E22" s="14">
        <f t="shared" si="32"/>
        <v>21.577002053388089</v>
      </c>
      <c r="F22" s="13" t="s">
        <v>71</v>
      </c>
      <c r="G22" s="13" t="s">
        <v>77</v>
      </c>
      <c r="H22" s="13" t="s">
        <v>72</v>
      </c>
      <c r="I22" s="13">
        <v>50.96</v>
      </c>
      <c r="J22" s="15">
        <v>12.34</v>
      </c>
      <c r="K22" s="15">
        <v>12.75</v>
      </c>
      <c r="L22" s="15">
        <v>13.5</v>
      </c>
      <c r="M22" s="15">
        <v>13.58</v>
      </c>
      <c r="N22" s="15">
        <v>13.99</v>
      </c>
      <c r="O22" s="15">
        <v>13.74</v>
      </c>
      <c r="P22" s="15">
        <v>13.84</v>
      </c>
      <c r="Q22" s="15">
        <v>13.77</v>
      </c>
      <c r="R22" s="15">
        <v>13.86</v>
      </c>
      <c r="S22" s="15">
        <v>14.05</v>
      </c>
      <c r="T22" s="15">
        <v>13.87</v>
      </c>
      <c r="U22" s="15">
        <v>13.91</v>
      </c>
      <c r="V22" s="16">
        <v>43.9</v>
      </c>
      <c r="W22" s="16">
        <v>42.3</v>
      </c>
      <c r="X22" s="16">
        <v>39.700000000000003</v>
      </c>
      <c r="Y22" s="16">
        <v>39.1</v>
      </c>
      <c r="Z22" s="16">
        <v>37.799999999999997</v>
      </c>
      <c r="AA22" s="16">
        <v>37.6</v>
      </c>
      <c r="AB22" s="16">
        <v>38.700000000000003</v>
      </c>
      <c r="AC22" s="16">
        <v>40.200000000000003</v>
      </c>
      <c r="AD22" s="16">
        <v>38.200000000000003</v>
      </c>
      <c r="AE22" s="16">
        <v>38.5</v>
      </c>
      <c r="AF22" s="16">
        <v>38.200000000000003</v>
      </c>
      <c r="AG22" s="16">
        <v>38.1</v>
      </c>
      <c r="AH22" s="17">
        <v>15</v>
      </c>
      <c r="AI22" s="17">
        <v>14</v>
      </c>
      <c r="AJ22" s="17">
        <v>14</v>
      </c>
      <c r="AK22" s="17">
        <v>14</v>
      </c>
      <c r="AL22" s="17">
        <v>14</v>
      </c>
      <c r="AM22" s="17">
        <v>14</v>
      </c>
      <c r="AN22" s="17">
        <v>14</v>
      </c>
      <c r="AO22" s="17">
        <v>15</v>
      </c>
      <c r="AP22" s="17">
        <v>14</v>
      </c>
      <c r="AQ22" s="17">
        <v>15</v>
      </c>
      <c r="AR22" s="17">
        <v>14</v>
      </c>
      <c r="AS22" s="17">
        <v>15</v>
      </c>
      <c r="AT22" s="18">
        <f t="shared" si="0"/>
        <v>3.0030527981283055</v>
      </c>
      <c r="AU22" s="18">
        <f t="shared" si="1"/>
        <v>2.7104959630911183</v>
      </c>
      <c r="AV22" s="18">
        <f t="shared" si="2"/>
        <v>2.2690900777320535</v>
      </c>
      <c r="AW22" s="18">
        <f t="shared" si="3"/>
        <v>2.2085436363938711</v>
      </c>
      <c r="AX22" s="18">
        <f t="shared" si="4"/>
        <v>2.0118015472095099</v>
      </c>
      <c r="AY22" s="18">
        <f t="shared" si="5"/>
        <v>2.0746419079784193</v>
      </c>
      <c r="AZ22" s="18">
        <f t="shared" si="6"/>
        <v>2.1045902385646031</v>
      </c>
      <c r="BA22" s="18">
        <f t="shared" si="7"/>
        <v>2.2084467881668388</v>
      </c>
      <c r="BB22" s="18">
        <f t="shared" si="8"/>
        <v>2.071408095939121</v>
      </c>
      <c r="BC22" s="18">
        <f t="shared" si="9"/>
        <v>2.0315936559398518</v>
      </c>
      <c r="BD22" s="18">
        <f t="shared" si="10"/>
        <v>2.0684222828555128</v>
      </c>
      <c r="BE22" s="18">
        <f t="shared" si="11"/>
        <v>2.0511597354049167</v>
      </c>
      <c r="BF22" s="18">
        <f t="shared" si="12"/>
        <v>2.025931928687196</v>
      </c>
      <c r="BG22" s="18">
        <f t="shared" si="13"/>
        <v>1.9607843137254901</v>
      </c>
      <c r="BH22" s="18">
        <f t="shared" si="14"/>
        <v>1.8518518518518519</v>
      </c>
      <c r="BI22" s="18">
        <f t="shared" si="15"/>
        <v>1.840942562592047</v>
      </c>
      <c r="BJ22" s="18">
        <f t="shared" si="16"/>
        <v>1.7869907076483202</v>
      </c>
      <c r="BK22" s="18">
        <f t="shared" si="17"/>
        <v>1.8195050946142648</v>
      </c>
      <c r="BL22" s="18">
        <f t="shared" si="18"/>
        <v>1.8063583815028903</v>
      </c>
      <c r="BM22" s="18">
        <f t="shared" si="19"/>
        <v>1.8155410312273057</v>
      </c>
      <c r="BN22" s="18">
        <f t="shared" si="20"/>
        <v>1.8037518037518039</v>
      </c>
      <c r="BO22" s="18">
        <f t="shared" si="21"/>
        <v>1.779359430604982</v>
      </c>
      <c r="BP22" s="18">
        <f t="shared" si="22"/>
        <v>1.8024513338139871</v>
      </c>
      <c r="BQ22" s="18">
        <f t="shared" si="23"/>
        <v>1.7972681524083394</v>
      </c>
      <c r="BR22" s="7">
        <f t="shared" si="24"/>
        <v>163.19999999999999</v>
      </c>
      <c r="BS22" s="7">
        <f t="shared" si="25"/>
        <v>2.025931928687196</v>
      </c>
      <c r="BT22" s="9">
        <f t="shared" si="26"/>
        <v>0.11731044349070092</v>
      </c>
      <c r="BU22" s="7">
        <f t="shared" si="27"/>
        <v>1.7882689556509299</v>
      </c>
      <c r="BV22" s="7">
        <f t="shared" si="28"/>
        <v>9.6899252188071667</v>
      </c>
      <c r="BW22" s="8">
        <f t="shared" si="29"/>
        <v>7.1632938313033847E-4</v>
      </c>
      <c r="BX22" s="8">
        <f t="shared" si="30"/>
        <v>7.5421517099334928E-4</v>
      </c>
    </row>
    <row r="23" spans="1:76" s="5" customFormat="1" x14ac:dyDescent="0.2">
      <c r="A23" s="12">
        <v>37766</v>
      </c>
      <c r="B23" s="13" t="s">
        <v>84</v>
      </c>
      <c r="C23" s="19">
        <v>46043</v>
      </c>
      <c r="D23" s="13" t="s">
        <v>76</v>
      </c>
      <c r="E23" s="14">
        <f t="shared" si="32"/>
        <v>22.661190965092402</v>
      </c>
      <c r="F23" s="13" t="s">
        <v>71</v>
      </c>
      <c r="G23" s="13" t="s">
        <v>77</v>
      </c>
      <c r="H23" s="13" t="s">
        <v>72</v>
      </c>
      <c r="I23" s="13">
        <v>49.93</v>
      </c>
      <c r="J23" s="15">
        <v>11.86</v>
      </c>
      <c r="K23" s="15">
        <v>12.16</v>
      </c>
      <c r="L23" s="15">
        <v>12.66</v>
      </c>
      <c r="M23" s="15">
        <v>13.03</v>
      </c>
      <c r="N23" s="15">
        <v>13.49</v>
      </c>
      <c r="O23" s="15">
        <v>13.64</v>
      </c>
      <c r="P23" s="15">
        <v>14.17</v>
      </c>
      <c r="Q23" s="15">
        <v>14.05</v>
      </c>
      <c r="R23" s="15">
        <v>14.16</v>
      </c>
      <c r="S23" s="15">
        <v>13.91</v>
      </c>
      <c r="T23" s="15">
        <v>14.31</v>
      </c>
      <c r="U23" s="15">
        <v>14.15</v>
      </c>
      <c r="V23" s="16">
        <v>48</v>
      </c>
      <c r="W23" s="16">
        <v>47</v>
      </c>
      <c r="X23" s="16">
        <v>45</v>
      </c>
      <c r="Y23" s="16">
        <v>43</v>
      </c>
      <c r="Z23" s="16">
        <v>43</v>
      </c>
      <c r="AA23" s="16">
        <v>41</v>
      </c>
      <c r="AB23" s="16">
        <v>40</v>
      </c>
      <c r="AC23" s="16">
        <v>40</v>
      </c>
      <c r="AD23" s="16">
        <v>40</v>
      </c>
      <c r="AE23" s="16">
        <v>40</v>
      </c>
      <c r="AF23" s="16">
        <v>40</v>
      </c>
      <c r="AG23" s="16">
        <v>41</v>
      </c>
      <c r="AH23" s="17">
        <v>16</v>
      </c>
      <c r="AI23" s="17">
        <v>15</v>
      </c>
      <c r="AJ23" s="17">
        <v>15</v>
      </c>
      <c r="AK23" s="17">
        <v>15</v>
      </c>
      <c r="AL23" s="17">
        <v>16</v>
      </c>
      <c r="AM23" s="17">
        <v>15</v>
      </c>
      <c r="AN23" s="17">
        <v>15</v>
      </c>
      <c r="AO23" s="17">
        <v>15</v>
      </c>
      <c r="AP23" s="17">
        <v>15</v>
      </c>
      <c r="AQ23" s="17">
        <v>15</v>
      </c>
      <c r="AR23" s="17">
        <v>15</v>
      </c>
      <c r="AS23" s="17">
        <v>15</v>
      </c>
      <c r="AT23" s="18">
        <f t="shared" ref="AT23:BE25" si="33">(BF23^2)*(V23/60)</f>
        <v>3.5546809460570055</v>
      </c>
      <c r="AU23" s="18">
        <f t="shared" si="33"/>
        <v>3.3110022434787618</v>
      </c>
      <c r="AV23" s="18">
        <f t="shared" si="33"/>
        <v>2.9246497907354581</v>
      </c>
      <c r="AW23" s="18">
        <f t="shared" si="33"/>
        <v>2.6382041010895025</v>
      </c>
      <c r="AX23" s="18">
        <f t="shared" si="33"/>
        <v>2.4613497116809291</v>
      </c>
      <c r="AY23" s="18">
        <f t="shared" si="33"/>
        <v>2.2955348107888076</v>
      </c>
      <c r="AZ23" s="18">
        <f t="shared" si="33"/>
        <v>2.0751479123928998</v>
      </c>
      <c r="BA23" s="18">
        <f t="shared" si="33"/>
        <v>2.1107466555219236</v>
      </c>
      <c r="BB23" s="18">
        <f t="shared" si="33"/>
        <v>2.0780799472267439</v>
      </c>
      <c r="BC23" s="18">
        <f t="shared" si="33"/>
        <v>2.1534485411075237</v>
      </c>
      <c r="BD23" s="18">
        <f t="shared" si="33"/>
        <v>2.0347426612122539</v>
      </c>
      <c r="BE23" s="18">
        <f t="shared" si="33"/>
        <v>2.133043655599812</v>
      </c>
      <c r="BF23" s="18">
        <f t="shared" si="12"/>
        <v>2.1079258010118043</v>
      </c>
      <c r="BG23" s="18">
        <f t="shared" si="13"/>
        <v>2.0559210526315788</v>
      </c>
      <c r="BH23" s="18">
        <f t="shared" si="14"/>
        <v>1.9747235387045814</v>
      </c>
      <c r="BI23" s="18">
        <f t="shared" si="15"/>
        <v>1.9186492709132772</v>
      </c>
      <c r="BJ23" s="18">
        <f t="shared" si="16"/>
        <v>1.8532246108228316</v>
      </c>
      <c r="BK23" s="18">
        <f t="shared" si="17"/>
        <v>1.8328445747800586</v>
      </c>
      <c r="BL23" s="18">
        <f t="shared" si="18"/>
        <v>1.7642907551164433</v>
      </c>
      <c r="BM23" s="18">
        <f t="shared" si="19"/>
        <v>1.779359430604982</v>
      </c>
      <c r="BN23" s="18">
        <f t="shared" si="20"/>
        <v>1.7655367231638417</v>
      </c>
      <c r="BO23" s="18">
        <f t="shared" si="21"/>
        <v>1.7972681524083394</v>
      </c>
      <c r="BP23" s="18">
        <f t="shared" si="22"/>
        <v>1.7470300489168413</v>
      </c>
      <c r="BQ23" s="18">
        <f t="shared" si="23"/>
        <v>1.7667844522968197</v>
      </c>
      <c r="BR23" s="7">
        <f t="shared" si="24"/>
        <v>161.59</v>
      </c>
      <c r="BS23" s="7">
        <f t="shared" si="25"/>
        <v>2.1079258010118043</v>
      </c>
      <c r="BT23" s="9">
        <f t="shared" ref="BT23:BT25" si="34">(BS23-BU23)/BS23</f>
        <v>0.16684229012996127</v>
      </c>
      <c r="BU23" s="7">
        <f t="shared" si="27"/>
        <v>1.7562346329469618</v>
      </c>
      <c r="BV23" s="7">
        <f t="shared" si="28"/>
        <v>18.462530100058061</v>
      </c>
      <c r="BW23" s="8">
        <f>(100/((0.8518*BU23)+0.0925))/86400</f>
        <v>7.2863460600692197E-4</v>
      </c>
      <c r="BX23" s="8">
        <f>(100/(((0.8518*BU23)+0.0925)*0.9554-0.0091))/86400</f>
        <v>7.6724935834648986E-4</v>
      </c>
    </row>
    <row r="24" spans="1:76" s="5" customFormat="1" x14ac:dyDescent="0.2">
      <c r="A24" s="12">
        <v>39485</v>
      </c>
      <c r="B24" s="13" t="s">
        <v>120</v>
      </c>
      <c r="C24" s="19">
        <v>46043</v>
      </c>
      <c r="D24" s="13" t="s">
        <v>76</v>
      </c>
      <c r="E24" s="14">
        <f t="shared" si="32"/>
        <v>17.95482546201232</v>
      </c>
      <c r="F24" s="13" t="s">
        <v>71</v>
      </c>
      <c r="G24" s="13" t="s">
        <v>77</v>
      </c>
      <c r="H24" s="13" t="s">
        <v>72</v>
      </c>
      <c r="I24" s="13">
        <v>51.04</v>
      </c>
      <c r="J24" s="15">
        <v>11.77</v>
      </c>
      <c r="K24" s="15">
        <v>11.71</v>
      </c>
      <c r="L24" s="15">
        <v>12.72</v>
      </c>
      <c r="M24" s="15">
        <v>13.21</v>
      </c>
      <c r="N24" s="15">
        <v>14.28</v>
      </c>
      <c r="O24" s="15">
        <v>14.63</v>
      </c>
      <c r="P24" s="15">
        <v>14.59</v>
      </c>
      <c r="Q24" s="15">
        <v>14.47</v>
      </c>
      <c r="R24" s="15">
        <v>14.87</v>
      </c>
      <c r="S24" s="15">
        <v>14.91</v>
      </c>
      <c r="T24" s="15">
        <v>14.72</v>
      </c>
      <c r="U24" s="15">
        <v>14.62</v>
      </c>
      <c r="V24" s="16">
        <v>56</v>
      </c>
      <c r="W24" s="16">
        <v>53</v>
      </c>
      <c r="X24" s="16">
        <v>49</v>
      </c>
      <c r="Y24" s="16">
        <v>45</v>
      </c>
      <c r="Z24" s="16">
        <v>42</v>
      </c>
      <c r="AA24" s="16">
        <v>40</v>
      </c>
      <c r="AB24" s="16">
        <v>40</v>
      </c>
      <c r="AC24" s="16">
        <v>38</v>
      </c>
      <c r="AD24" s="16">
        <v>39</v>
      </c>
      <c r="AE24" s="16">
        <v>37</v>
      </c>
      <c r="AF24" s="16">
        <v>38</v>
      </c>
      <c r="AG24" s="16">
        <v>37</v>
      </c>
      <c r="AH24" s="17">
        <v>17</v>
      </c>
      <c r="AI24" s="17">
        <v>17</v>
      </c>
      <c r="AJ24" s="17">
        <v>17</v>
      </c>
      <c r="AK24" s="17">
        <v>15</v>
      </c>
      <c r="AL24" s="17">
        <v>16</v>
      </c>
      <c r="AM24" s="17">
        <v>15</v>
      </c>
      <c r="AN24" s="17">
        <v>15</v>
      </c>
      <c r="AO24" s="17">
        <v>15</v>
      </c>
      <c r="AP24" s="17">
        <v>15</v>
      </c>
      <c r="AQ24" s="17">
        <v>15</v>
      </c>
      <c r="AR24" s="17">
        <v>15</v>
      </c>
      <c r="AS24" s="17">
        <v>15</v>
      </c>
      <c r="AT24" s="18">
        <f t="shared" si="33"/>
        <v>4.2107927671573568</v>
      </c>
      <c r="AU24" s="18">
        <f t="shared" si="33"/>
        <v>4.0261582999146999</v>
      </c>
      <c r="AV24" s="18">
        <f t="shared" si="33"/>
        <v>3.1546459462310295</v>
      </c>
      <c r="AW24" s="18">
        <f t="shared" si="33"/>
        <v>2.6861833045756511</v>
      </c>
      <c r="AX24" s="18">
        <f t="shared" si="33"/>
        <v>2.1454660295490742</v>
      </c>
      <c r="AY24" s="18">
        <f t="shared" si="33"/>
        <v>1.9467048283107566</v>
      </c>
      <c r="AZ24" s="18">
        <f t="shared" si="33"/>
        <v>1.9573936473650426</v>
      </c>
      <c r="BA24" s="18">
        <f t="shared" si="33"/>
        <v>1.8904939912538981</v>
      </c>
      <c r="BB24" s="18">
        <f t="shared" si="33"/>
        <v>1.8372634565698054</v>
      </c>
      <c r="BC24" s="18">
        <f t="shared" si="33"/>
        <v>1.7337050096990019</v>
      </c>
      <c r="BD24" s="18">
        <f t="shared" si="33"/>
        <v>1.8268241473692497</v>
      </c>
      <c r="BE24" s="18">
        <f t="shared" si="33"/>
        <v>1.8031661492262099</v>
      </c>
      <c r="BF24" s="18">
        <f t="shared" si="12"/>
        <v>2.1240441801189465</v>
      </c>
      <c r="BG24" s="18">
        <f t="shared" si="13"/>
        <v>2.134927412467976</v>
      </c>
      <c r="BH24" s="18">
        <f t="shared" si="14"/>
        <v>1.9654088050314464</v>
      </c>
      <c r="BI24" s="18">
        <f t="shared" si="15"/>
        <v>1.8925056775170324</v>
      </c>
      <c r="BJ24" s="18">
        <f t="shared" si="16"/>
        <v>1.7507002801120448</v>
      </c>
      <c r="BK24" s="18">
        <f t="shared" si="17"/>
        <v>1.7088174982911823</v>
      </c>
      <c r="BL24" s="18">
        <f t="shared" si="18"/>
        <v>1.7135023989033584</v>
      </c>
      <c r="BM24" s="18">
        <f t="shared" si="19"/>
        <v>1.7277125086385625</v>
      </c>
      <c r="BN24" s="18">
        <f t="shared" si="20"/>
        <v>1.6812373907195697</v>
      </c>
      <c r="BO24" s="18">
        <f t="shared" si="21"/>
        <v>1.6767270288397049</v>
      </c>
      <c r="BP24" s="18">
        <f t="shared" si="22"/>
        <v>1.6983695652173911</v>
      </c>
      <c r="BQ24" s="18">
        <f t="shared" si="23"/>
        <v>1.7099863201094392</v>
      </c>
      <c r="BR24" s="7">
        <f t="shared" si="24"/>
        <v>166.50000000000003</v>
      </c>
      <c r="BS24" s="7">
        <f t="shared" si="25"/>
        <v>2.134927412467976</v>
      </c>
      <c r="BT24" s="9">
        <f t="shared" si="34"/>
        <v>0.21356615177971794</v>
      </c>
      <c r="BU24" s="7">
        <f t="shared" si="27"/>
        <v>1.6789791806581598</v>
      </c>
      <c r="BV24" s="7">
        <f t="shared" si="28"/>
        <v>23.262744891674515</v>
      </c>
      <c r="BW24" s="8">
        <f>(100/((0.8518*BU24)+0.0925))/86400</f>
        <v>7.6012479074361798E-4</v>
      </c>
      <c r="BX24" s="8">
        <f>(100/(((0.8518*BU24)+0.0925)*0.9554-0.0091))/86400</f>
        <v>8.0061712692900539E-4</v>
      </c>
    </row>
    <row r="25" spans="1:76" s="5" customFormat="1" x14ac:dyDescent="0.2">
      <c r="A25" s="12">
        <v>38751</v>
      </c>
      <c r="B25" s="13" t="s">
        <v>121</v>
      </c>
      <c r="C25" s="19">
        <v>46043</v>
      </c>
      <c r="D25" s="13" t="s">
        <v>76</v>
      </c>
      <c r="E25" s="14">
        <f t="shared" si="32"/>
        <v>19.964407939767284</v>
      </c>
      <c r="F25" s="13" t="s">
        <v>71</v>
      </c>
      <c r="G25" s="13" t="s">
        <v>77</v>
      </c>
      <c r="H25" s="13" t="s">
        <v>72</v>
      </c>
      <c r="I25" s="13">
        <v>51.08</v>
      </c>
      <c r="J25" s="15">
        <v>11.51</v>
      </c>
      <c r="K25" s="15">
        <v>11.86</v>
      </c>
      <c r="L25" s="15">
        <v>13.02</v>
      </c>
      <c r="M25" s="15">
        <v>13.5</v>
      </c>
      <c r="N25" s="15">
        <v>14.79</v>
      </c>
      <c r="O25" s="15">
        <v>15.18</v>
      </c>
      <c r="P25" s="15">
        <v>14.91</v>
      </c>
      <c r="Q25" s="15">
        <v>15.04</v>
      </c>
      <c r="R25" s="15">
        <v>15.49</v>
      </c>
      <c r="S25" s="15">
        <v>15.32</v>
      </c>
      <c r="T25" s="15">
        <v>15.4</v>
      </c>
      <c r="U25" s="15">
        <v>14.94</v>
      </c>
      <c r="V25" s="16">
        <v>60</v>
      </c>
      <c r="W25" s="16">
        <v>57</v>
      </c>
      <c r="X25" s="16">
        <v>53</v>
      </c>
      <c r="Y25" s="16">
        <v>50</v>
      </c>
      <c r="Z25" s="16">
        <v>42</v>
      </c>
      <c r="AA25" s="16">
        <v>39</v>
      </c>
      <c r="AB25" s="16">
        <v>40</v>
      </c>
      <c r="AC25" s="16">
        <v>40</v>
      </c>
      <c r="AD25" s="16">
        <v>39</v>
      </c>
      <c r="AE25" s="16">
        <v>40</v>
      </c>
      <c r="AF25" s="16">
        <v>39</v>
      </c>
      <c r="AG25" s="16">
        <v>41</v>
      </c>
      <c r="AH25" s="17">
        <v>18</v>
      </c>
      <c r="AI25" s="17">
        <v>17</v>
      </c>
      <c r="AJ25" s="17">
        <v>18</v>
      </c>
      <c r="AK25" s="17">
        <v>18</v>
      </c>
      <c r="AL25" s="17">
        <v>17</v>
      </c>
      <c r="AM25" s="17">
        <v>17</v>
      </c>
      <c r="AN25" s="17">
        <v>16</v>
      </c>
      <c r="AO25" s="17">
        <v>17</v>
      </c>
      <c r="AP25" s="17">
        <v>17</v>
      </c>
      <c r="AQ25" s="17">
        <v>17</v>
      </c>
      <c r="AR25" s="17">
        <v>17</v>
      </c>
      <c r="AS25" s="17">
        <v>18</v>
      </c>
      <c r="AT25" s="18">
        <f t="shared" si="33"/>
        <v>4.7176896756569482</v>
      </c>
      <c r="AU25" s="18">
        <f t="shared" si="33"/>
        <v>4.2211836234426938</v>
      </c>
      <c r="AV25" s="18">
        <f t="shared" si="33"/>
        <v>3.2567368489770749</v>
      </c>
      <c r="AW25" s="18">
        <f t="shared" si="33"/>
        <v>2.8577960676726111</v>
      </c>
      <c r="AX25" s="18">
        <f t="shared" si="33"/>
        <v>2.0000539443120982</v>
      </c>
      <c r="AY25" s="18">
        <f t="shared" si="33"/>
        <v>1.762989926763771</v>
      </c>
      <c r="AZ25" s="18">
        <f t="shared" si="33"/>
        <v>1.874275686161083</v>
      </c>
      <c r="BA25" s="18">
        <f t="shared" si="33"/>
        <v>1.8420146748151505</v>
      </c>
      <c r="BB25" s="18">
        <f t="shared" si="33"/>
        <v>1.6931309105897678</v>
      </c>
      <c r="BC25" s="18">
        <f t="shared" si="33"/>
        <v>1.7752978523724796</v>
      </c>
      <c r="BD25" s="18">
        <f t="shared" si="33"/>
        <v>1.7129785798616968</v>
      </c>
      <c r="BE25" s="18">
        <f t="shared" si="33"/>
        <v>1.9134249328117172</v>
      </c>
      <c r="BF25" s="18">
        <f t="shared" si="12"/>
        <v>2.1720243266724588</v>
      </c>
      <c r="BG25" s="18">
        <f t="shared" si="13"/>
        <v>2.1079258010118043</v>
      </c>
      <c r="BH25" s="18">
        <f t="shared" si="14"/>
        <v>1.9201228878648233</v>
      </c>
      <c r="BI25" s="18">
        <f t="shared" si="15"/>
        <v>1.8518518518518519</v>
      </c>
      <c r="BJ25" s="18">
        <f t="shared" si="16"/>
        <v>1.6903313049357676</v>
      </c>
      <c r="BK25" s="18">
        <f t="shared" si="17"/>
        <v>1.6469038208168643</v>
      </c>
      <c r="BL25" s="18">
        <f t="shared" si="18"/>
        <v>1.6767270288397049</v>
      </c>
      <c r="BM25" s="18">
        <f t="shared" si="19"/>
        <v>1.6622340425531916</v>
      </c>
      <c r="BN25" s="18">
        <f t="shared" si="20"/>
        <v>1.6139444803098772</v>
      </c>
      <c r="BO25" s="18">
        <f t="shared" si="21"/>
        <v>1.6318537859007833</v>
      </c>
      <c r="BP25" s="18">
        <f t="shared" si="22"/>
        <v>1.6233766233766234</v>
      </c>
      <c r="BQ25" s="18">
        <f t="shared" si="23"/>
        <v>1.673360107095047</v>
      </c>
      <c r="BR25" s="7">
        <f t="shared" si="24"/>
        <v>170.96</v>
      </c>
      <c r="BS25" s="7">
        <f t="shared" si="25"/>
        <v>2.1720243266724588</v>
      </c>
      <c r="BT25" s="9">
        <f t="shared" si="34"/>
        <v>0.25477500809323411</v>
      </c>
      <c r="BU25" s="7">
        <f t="shared" si="27"/>
        <v>1.6186468112657817</v>
      </c>
      <c r="BV25" s="7">
        <f t="shared" si="28"/>
        <v>26.679101057622812</v>
      </c>
      <c r="BW25" s="8">
        <f>(100/((0.8518*BU25)+0.0925))/86400</f>
        <v>7.8667588939095587E-4</v>
      </c>
      <c r="BX25" s="8">
        <f>(100/(((0.8518*BU25)+0.0925)*0.9554-0.0091))/86400</f>
        <v>8.2876484507543396E-4</v>
      </c>
    </row>
    <row r="27" spans="1:76" x14ac:dyDescent="0.2">
      <c r="E27" s="6"/>
    </row>
    <row r="28" spans="1:76" x14ac:dyDescent="0.2">
      <c r="E28" s="6"/>
    </row>
    <row r="29" spans="1:76" x14ac:dyDescent="0.2">
      <c r="E29" s="6"/>
    </row>
  </sheetData>
  <phoneticPr fontId="1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DCEE3-D807-1345-B42A-DF9BDC797B30}">
  <dimension ref="A1:AA6"/>
  <sheetViews>
    <sheetView zoomScale="12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6" x14ac:dyDescent="0.2"/>
  <cols>
    <col min="1" max="1" width="13.83203125" bestFit="1" customWidth="1"/>
    <col min="2" max="2" width="13.83203125" customWidth="1"/>
  </cols>
  <sheetData>
    <row r="1" spans="1:27" x14ac:dyDescent="0.2">
      <c r="A1" t="s">
        <v>1</v>
      </c>
      <c r="B1" t="s">
        <v>114</v>
      </c>
      <c r="C1" t="s">
        <v>88</v>
      </c>
      <c r="D1" t="s">
        <v>2</v>
      </c>
      <c r="E1" t="s">
        <v>89</v>
      </c>
      <c r="F1" t="s">
        <v>90</v>
      </c>
      <c r="G1" t="s">
        <v>91</v>
      </c>
      <c r="H1" t="s">
        <v>92</v>
      </c>
      <c r="I1" t="s">
        <v>101</v>
      </c>
      <c r="J1" t="s">
        <v>93</v>
      </c>
      <c r="K1" t="s">
        <v>94</v>
      </c>
      <c r="L1" t="s">
        <v>95</v>
      </c>
      <c r="M1" t="s">
        <v>96</v>
      </c>
      <c r="N1" t="s">
        <v>97</v>
      </c>
      <c r="O1" t="s">
        <v>98</v>
      </c>
      <c r="P1" t="s">
        <v>99</v>
      </c>
      <c r="Q1" t="s">
        <v>100</v>
      </c>
      <c r="R1" t="s">
        <v>105</v>
      </c>
      <c r="S1" t="s">
        <v>104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</row>
    <row r="2" spans="1:27" x14ac:dyDescent="0.2">
      <c r="A2" t="s">
        <v>86</v>
      </c>
      <c r="B2" t="s">
        <v>74</v>
      </c>
      <c r="C2" s="1">
        <v>37319</v>
      </c>
      <c r="D2" s="1">
        <v>45482</v>
      </c>
      <c r="E2">
        <v>13.3</v>
      </c>
      <c r="F2">
        <v>13.3</v>
      </c>
      <c r="G2">
        <v>13.21</v>
      </c>
      <c r="H2">
        <v>13.1</v>
      </c>
      <c r="I2" s="2">
        <f>MIN(E2:H2)</f>
        <v>13.1</v>
      </c>
      <c r="J2">
        <v>49</v>
      </c>
      <c r="K2">
        <v>49</v>
      </c>
      <c r="L2">
        <v>50</v>
      </c>
      <c r="M2">
        <v>51</v>
      </c>
      <c r="N2">
        <v>6</v>
      </c>
      <c r="O2">
        <v>5</v>
      </c>
      <c r="P2">
        <v>6</v>
      </c>
      <c r="Q2">
        <v>5</v>
      </c>
      <c r="W2" s="2">
        <f>(25/E2)^2*(J2/60)</f>
        <v>2.8855032317636198</v>
      </c>
      <c r="X2" s="2">
        <f t="shared" ref="X2:Z2" si="0">(25/F2)^2*(K2/60)</f>
        <v>2.8855032317636198</v>
      </c>
      <c r="Y2" s="2">
        <f t="shared" si="0"/>
        <v>2.9846481161951681</v>
      </c>
      <c r="Z2" s="2">
        <f t="shared" si="0"/>
        <v>3.0956820698094516</v>
      </c>
      <c r="AA2" s="2">
        <f>MAX(W2:Z2)</f>
        <v>3.0956820698094516</v>
      </c>
    </row>
    <row r="3" spans="1:27" x14ac:dyDescent="0.2">
      <c r="A3" t="s">
        <v>87</v>
      </c>
      <c r="B3" t="s">
        <v>72</v>
      </c>
      <c r="C3" s="1">
        <v>38009</v>
      </c>
      <c r="D3" s="1">
        <v>45482</v>
      </c>
      <c r="E3">
        <v>12.1</v>
      </c>
      <c r="F3">
        <v>12</v>
      </c>
      <c r="G3">
        <v>12.2</v>
      </c>
      <c r="H3">
        <v>12.1</v>
      </c>
      <c r="I3" s="2">
        <f t="shared" ref="I3:I6" si="1">MIN(E3:H3)</f>
        <v>12</v>
      </c>
      <c r="J3">
        <v>52</v>
      </c>
      <c r="K3">
        <v>51</v>
      </c>
      <c r="L3">
        <v>50</v>
      </c>
      <c r="M3">
        <v>51</v>
      </c>
      <c r="W3" s="2">
        <f t="shared" ref="W3:W6" si="2">(25/E3)^2*(J3/60)</f>
        <v>3.6996562165608005</v>
      </c>
      <c r="X3" s="2">
        <f t="shared" ref="X3:X6" si="3">(25/F3)^2*(K3/60)</f>
        <v>3.6892361111111116</v>
      </c>
      <c r="Y3" s="2">
        <f t="shared" ref="Y3:Y6" si="4">(25/G3)^2*(L3/60)</f>
        <v>3.4992833467705826</v>
      </c>
      <c r="Z3" s="2">
        <f t="shared" ref="Z3:Z6" si="5">(25/H3)^2*(M3/60)</f>
        <v>3.6285089816269389</v>
      </c>
      <c r="AA3" s="2">
        <f t="shared" ref="AA3:AA6" si="6">MAX(W3:Z3)</f>
        <v>3.6996562165608005</v>
      </c>
    </row>
    <row r="4" spans="1:27" x14ac:dyDescent="0.2">
      <c r="A4" t="s">
        <v>102</v>
      </c>
      <c r="B4" t="s">
        <v>72</v>
      </c>
      <c r="C4" s="1">
        <v>38613</v>
      </c>
      <c r="D4" s="1">
        <v>45482</v>
      </c>
      <c r="E4">
        <v>11.2</v>
      </c>
      <c r="F4">
        <v>11.3</v>
      </c>
      <c r="G4">
        <v>11.2</v>
      </c>
      <c r="H4">
        <v>11.2</v>
      </c>
      <c r="I4" s="2">
        <f t="shared" si="1"/>
        <v>11.2</v>
      </c>
      <c r="J4">
        <v>52</v>
      </c>
      <c r="K4">
        <v>53</v>
      </c>
      <c r="L4">
        <v>54</v>
      </c>
      <c r="M4">
        <v>53</v>
      </c>
      <c r="W4" s="2">
        <f t="shared" si="2"/>
        <v>4.318133503401361</v>
      </c>
      <c r="X4" s="2">
        <f t="shared" si="3"/>
        <v>4.3236223144594979</v>
      </c>
      <c r="Y4" s="2">
        <f t="shared" si="4"/>
        <v>4.4842155612244907</v>
      </c>
      <c r="Z4" s="2">
        <f t="shared" si="5"/>
        <v>4.4011745323129254</v>
      </c>
      <c r="AA4" s="2">
        <f t="shared" si="6"/>
        <v>4.4842155612244907</v>
      </c>
    </row>
    <row r="5" spans="1:27" x14ac:dyDescent="0.2">
      <c r="A5" t="s">
        <v>103</v>
      </c>
      <c r="B5" t="s">
        <v>72</v>
      </c>
      <c r="C5" s="1">
        <v>37316</v>
      </c>
      <c r="D5" s="1">
        <v>45482</v>
      </c>
      <c r="E5">
        <v>10.57</v>
      </c>
      <c r="F5">
        <v>10.6</v>
      </c>
      <c r="G5">
        <v>10.6</v>
      </c>
      <c r="H5">
        <v>10.8</v>
      </c>
      <c r="I5" s="2">
        <f t="shared" si="1"/>
        <v>10.57</v>
      </c>
      <c r="J5">
        <v>58</v>
      </c>
      <c r="K5">
        <v>56</v>
      </c>
      <c r="L5">
        <v>55</v>
      </c>
      <c r="M5">
        <v>56</v>
      </c>
      <c r="R5">
        <v>1.3</v>
      </c>
      <c r="S5">
        <v>3.2</v>
      </c>
      <c r="T5">
        <v>4.4000000000000004</v>
      </c>
      <c r="U5">
        <v>4.5999999999999996</v>
      </c>
      <c r="V5">
        <v>4.9000000000000004</v>
      </c>
      <c r="W5" s="2">
        <f t="shared" si="2"/>
        <v>5.4076277236915553</v>
      </c>
      <c r="X5" s="2">
        <f t="shared" si="3"/>
        <v>5.191645900083067</v>
      </c>
      <c r="Y5" s="2">
        <f t="shared" si="4"/>
        <v>5.0989379375815833</v>
      </c>
      <c r="Z5" s="2">
        <f t="shared" si="5"/>
        <v>5.0011431184270698</v>
      </c>
      <c r="AA5" s="2">
        <f t="shared" si="6"/>
        <v>5.4076277236915553</v>
      </c>
    </row>
    <row r="6" spans="1:27" x14ac:dyDescent="0.2">
      <c r="A6" t="s">
        <v>84</v>
      </c>
      <c r="B6" t="s">
        <v>73</v>
      </c>
      <c r="C6" s="1">
        <v>37766</v>
      </c>
      <c r="D6" s="1">
        <v>45482</v>
      </c>
      <c r="E6">
        <v>10.99</v>
      </c>
      <c r="F6">
        <v>10.9</v>
      </c>
      <c r="G6">
        <v>11.1</v>
      </c>
      <c r="H6">
        <v>11.1</v>
      </c>
      <c r="I6" s="2">
        <f t="shared" si="1"/>
        <v>10.9</v>
      </c>
      <c r="J6">
        <v>57</v>
      </c>
      <c r="K6">
        <v>56</v>
      </c>
      <c r="L6">
        <v>55</v>
      </c>
      <c r="M6">
        <v>58</v>
      </c>
      <c r="R6">
        <v>1.4</v>
      </c>
      <c r="S6">
        <v>2.7</v>
      </c>
      <c r="T6">
        <v>3.1</v>
      </c>
      <c r="U6">
        <v>4</v>
      </c>
      <c r="V6">
        <v>4.2</v>
      </c>
      <c r="W6" s="2">
        <f t="shared" si="2"/>
        <v>4.915958837589967</v>
      </c>
      <c r="X6" s="2">
        <f t="shared" si="3"/>
        <v>4.9097999607216005</v>
      </c>
      <c r="Y6" s="2">
        <f t="shared" si="4"/>
        <v>4.6499201904607315</v>
      </c>
      <c r="Z6" s="2">
        <f t="shared" si="5"/>
        <v>4.9035522008494983</v>
      </c>
      <c r="AA6" s="2">
        <f t="shared" si="6"/>
        <v>4.915958837589967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Database</vt:lpstr>
      <vt:lpstr>4x25s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</dc:creator>
  <cp:lastModifiedBy>Gio Postiglione</cp:lastModifiedBy>
  <dcterms:created xsi:type="dcterms:W3CDTF">2023-05-23T06:47:24Z</dcterms:created>
  <dcterms:modified xsi:type="dcterms:W3CDTF">2026-01-21T22:12:04Z</dcterms:modified>
</cp:coreProperties>
</file>